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emckclac-my.sharepoint.com/personal/k25008497_kcl_ac_uk/Documents/Documents/Hacking/GRC Project/"/>
    </mc:Choice>
  </mc:AlternateContent>
  <xr:revisionPtr revIDLastSave="3747" documentId="8_{F9853086-C409-462B-BF33-60EB2FBA107D}" xr6:coauthVersionLast="47" xr6:coauthVersionMax="47" xr10:uidLastSave="{525C8F56-64EB-477E-B9FD-488F93E80C20}"/>
  <bookViews>
    <workbookView xWindow="28680" yWindow="-120" windowWidth="29040" windowHeight="15720" tabRatio="722" firstSheet="2" activeTab="9" xr2:uid="{47DA8EE0-1C4E-4FE3-8919-915D9414350C}"/>
  </bookViews>
  <sheets>
    <sheet name="Table1__2__2" sheetId="19" r:id="rId1"/>
    <sheet name="Risk" sheetId="20" r:id="rId2"/>
    <sheet name="OriginalSheet" sheetId="1" r:id="rId3"/>
    <sheet name="Pivot_Severity" sheetId="21" state="hidden" r:id="rId4"/>
    <sheet name="Pivot_Frameworks" sheetId="24" state="hidden" r:id="rId5"/>
    <sheet name="Pivot_Systems" sheetId="23" state="hidden" r:id="rId6"/>
    <sheet name="Pivot_Impacts" sheetId="25" state="hidden" r:id="rId7"/>
    <sheet name="Pivot_Teams" sheetId="26" state="hidden" r:id="rId8"/>
    <sheet name="Pivot_Status" sheetId="27" state="hidden" r:id="rId9"/>
    <sheet name="Dashboard" sheetId="28" r:id="rId10"/>
  </sheets>
  <definedNames>
    <definedName name="_xlnm._FilterDatabase" localSheetId="2" hidden="1">OriginalSheet!$A$1:$L$14</definedName>
    <definedName name="_xlcn.WorksheetConnection_RiskAuditSpreadsheet.xlsxOriginal1" hidden="1">Original[]</definedName>
    <definedName name="_xlcn.WorksheetConnection_RiskAuditSpreadsheet.xlsxRisk1" hidden="1">Risk[]</definedName>
    <definedName name="ExternalData_1" localSheetId="1" hidden="1">'Risk'!$A$1:$L$113</definedName>
    <definedName name="Risk_Table">'Risk'!$1:$1048576</definedName>
    <definedName name="Risks">Risk[[#Headers],[Risk ID]]</definedName>
    <definedName name="Slicer_Relevant_Framework">#N/A</definedName>
    <definedName name="Slicer_Risk_Level">#N/A</definedName>
    <definedName name="Slicer_Risk_Level1">#N/A</definedName>
    <definedName name="Slicer_Status_of_Risk_Remediation">#N/A</definedName>
    <definedName name="Slicer_System">#N/A</definedName>
    <definedName name="Slicer_System1">#N/A</definedName>
  </definedNames>
  <calcPr calcId="191029"/>
  <pivotCaches>
    <pivotCache cacheId="1059" r:id="rId11"/>
    <pivotCache cacheId="1134" r:id="rId12"/>
    <pivotCache cacheId="1137" r:id="rId13"/>
    <pivotCache cacheId="1140" r:id="rId14"/>
    <pivotCache cacheId="1143" r:id="rId15"/>
    <pivotCache cacheId="1146" r:id="rId16"/>
    <pivotCache cacheId="1149" r:id="rId17"/>
  </pivotCaches>
  <extLst>
    <ext xmlns:x14="http://schemas.microsoft.com/office/spreadsheetml/2009/9/main" uri="{876F7934-8845-4945-9796-88D515C7AA90}">
      <x14:pivotCaches>
        <pivotCache cacheId="1040"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isk" name="Risk" connection="WorksheetConnection_Risk Audit Spreadsheet.xlsx!Risk"/>
          <x15:modelTable id="Original" name="Original" connection="WorksheetConnection_Risk Audit Spreadsheet.xlsx!Origin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6" i="28" l="1"/>
  <c r="J16" i="28"/>
  <c r="I16" i="28"/>
  <c r="H16" i="28"/>
  <c r="G16" i="28"/>
  <c r="F16" i="28"/>
  <c r="L16" i="2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8C2689-B503-4A05-897D-ED1DB803FC28}" keepAlive="1" name="Query - Table1" description="Connection to the 'Table1' query in the workbook." type="5" refreshedVersion="8" background="1" refreshOnLoad="1" saveData="1">
    <dbPr connection="Provider=Microsoft.Mashup.OleDb.1;Data Source=$Workbook$;Location=Table1;Extended Properties=&quot;&quot;" command="SELECT * FROM [Table1]"/>
  </connection>
  <connection id="2" xr16:uid="{E7CDDEA2-F377-4DE5-B7AB-575AADDB00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0697557-7EC6-443E-872E-90D1CFF55122}" name="WorksheetConnection_Risk Audit Spreadsheet.xlsx!Original" type="102" refreshedVersion="8" minRefreshableVersion="5">
    <extLst>
      <ext xmlns:x15="http://schemas.microsoft.com/office/spreadsheetml/2010/11/main" uri="{DE250136-89BD-433C-8126-D09CA5730AF9}">
        <x15:connection id="Original" autoDelete="1">
          <x15:rangePr sourceName="_xlcn.WorksheetConnection_RiskAuditSpreadsheet.xlsxOriginal1"/>
        </x15:connection>
      </ext>
    </extLst>
  </connection>
  <connection id="4" xr16:uid="{51B82109-EA21-4812-904A-9B2C88CE9AFC}" name="WorksheetConnection_Risk Audit Spreadsheet.xlsx!Risk" type="102" refreshedVersion="8" minRefreshableVersion="5">
    <extLst>
      <ext xmlns:x15="http://schemas.microsoft.com/office/spreadsheetml/2010/11/main" uri="{DE250136-89BD-433C-8126-D09CA5730AF9}">
        <x15:connection id="Risk" autoDelete="1">
          <x15:rangePr sourceName="_xlcn.WorksheetConnection_RiskAuditSpreadsheet.xlsxRisk1"/>
        </x15:connection>
      </ext>
    </extLst>
  </connection>
</connections>
</file>

<file path=xl/sharedStrings.xml><?xml version="1.0" encoding="utf-8"?>
<sst xmlns="http://schemas.openxmlformats.org/spreadsheetml/2006/main" count="1464" uniqueCount="156">
  <si>
    <t>Risk ID</t>
  </si>
  <si>
    <t>System</t>
  </si>
  <si>
    <t>Risk Description</t>
  </si>
  <si>
    <t xml:space="preserve">Risk Level </t>
  </si>
  <si>
    <t>Recommendation</t>
  </si>
  <si>
    <t>Relevant Framework</t>
  </si>
  <si>
    <t>Responsible Party</t>
  </si>
  <si>
    <t>R-01</t>
  </si>
  <si>
    <t>Business Impact</t>
  </si>
  <si>
    <t>Identity &amp; Access Management</t>
  </si>
  <si>
    <t>Active Directory</t>
  </si>
  <si>
    <t>Developers for the mobile banking application retained administrative access</t>
  </si>
  <si>
    <t xml:space="preserve">A resentful developer exploits their retained administrative privileges to steal sensitive client financial data </t>
  </si>
  <si>
    <t>High</t>
  </si>
  <si>
    <t>NIST Cybersecurity Framework</t>
  </si>
  <si>
    <t>NIST Cybersecurity Framework; ISO 27001</t>
  </si>
  <si>
    <t>Audit security privileges regularly; operate on principle of least privilege</t>
  </si>
  <si>
    <t>R-02</t>
  </si>
  <si>
    <t xml:space="preserve">Risk </t>
  </si>
  <si>
    <t>Unencrypted Log Information</t>
  </si>
  <si>
    <t>AWS</t>
  </si>
  <si>
    <t>Unencrypted log data containing bank account information (account number) stored on AWS cloud storage</t>
  </si>
  <si>
    <t>An attacker obtains employee credentials through phishing, accessing logs in storage directly</t>
  </si>
  <si>
    <t>GDPR; ISO 27001; NIST Cybersecurity Framework</t>
  </si>
  <si>
    <t>R-03</t>
  </si>
  <si>
    <t>Lack of Data Minimisation</t>
  </si>
  <si>
    <t>R-04</t>
  </si>
  <si>
    <t>Core Banking</t>
  </si>
  <si>
    <t>R-05</t>
  </si>
  <si>
    <t>Legacy Systems In-Use</t>
  </si>
  <si>
    <t>Lack of Behavioural Records</t>
  </si>
  <si>
    <t>Reused Employee Credentials</t>
  </si>
  <si>
    <t>Internal AI Prompt Injection</t>
  </si>
  <si>
    <t>R-06</t>
  </si>
  <si>
    <t>R-07</t>
  </si>
  <si>
    <t>R-08</t>
  </si>
  <si>
    <t>R-09</t>
  </si>
  <si>
    <t>R-10</t>
  </si>
  <si>
    <t>R-11</t>
  </si>
  <si>
    <t>R-12</t>
  </si>
  <si>
    <t>Ensure sensitive data is encrypted; perform log sanitisation; minimise logging where possible</t>
  </si>
  <si>
    <t>Security Engineers</t>
  </si>
  <si>
    <t>Employees reuse credentials across applications across multiple company systems</t>
  </si>
  <si>
    <t>An attacker can obtain credentials and compromise mulitple systems across the company where credentials are reused</t>
  </si>
  <si>
    <t>ISO 27001; NIST Cybersecurity Framework</t>
  </si>
  <si>
    <t>Implement a policy enforcing unique credentials; stronger password policy; auditing privileged account credentials</t>
  </si>
  <si>
    <t>Security Engineers; Employees</t>
  </si>
  <si>
    <t>Outdated systems no longer receiving security patches are prone to vulnerabilities and exploitation</t>
  </si>
  <si>
    <t>Known unpatches vulnerabilities are exploited by attackers</t>
  </si>
  <si>
    <t>Service Disruption; Financial Loss; Lateral Movement</t>
  </si>
  <si>
    <t>Gradual replacement of legacy systems with modern systems and applications</t>
  </si>
  <si>
    <t>Infrastructure Team</t>
  </si>
  <si>
    <t>Internal AI Chatbot Assistant vulnerable to prompt injection attacks</t>
  </si>
  <si>
    <t>Malicious input, whether accidental or purposeful, can lead to the AI leaking sensitive data and/or performing unintended actions</t>
  </si>
  <si>
    <t>NIST AI Risk Management Framework</t>
  </si>
  <si>
    <t xml:space="preserve">Implement prompt filtering; auditing AI access controls </t>
  </si>
  <si>
    <t>AI Team</t>
  </si>
  <si>
    <t>Fraud Detection</t>
  </si>
  <si>
    <t>Lack of behavioural baseline for normal client activity</t>
  </si>
  <si>
    <t>Fraudulent activity isn't flagged as anomalous activity, thus going undetected</t>
  </si>
  <si>
    <t>Medium</t>
  </si>
  <si>
    <t>Financial Loss; Reputation Damage</t>
  </si>
  <si>
    <t>Formulate baselines through behavioural analytics data; implement an anomaly detection system</t>
  </si>
  <si>
    <t>Fraud Team</t>
  </si>
  <si>
    <t>Storing more customer data than operationally needed</t>
  </si>
  <si>
    <t>Security breaches exposes larger volumes of sensitive data unnecessarily</t>
  </si>
  <si>
    <t>GDPR; ISO 27001</t>
  </si>
  <si>
    <t>Larger Breach Impact; Data Leakage</t>
  </si>
  <si>
    <t>Implement data minimisation policies; implement greater data security measures</t>
  </si>
  <si>
    <t>Data Team</t>
  </si>
  <si>
    <t>Insufficient password complexity and password policies in effect</t>
  </si>
  <si>
    <t>Password-based attacks, such as credential stuffing and brute-force, become much more likely to succeed</t>
  </si>
  <si>
    <t>Enforce stronger password policies and account lockout policies</t>
  </si>
  <si>
    <t>Overreliance on AI with limited explainability and accountability of actions and decisions</t>
  </si>
  <si>
    <t>Crucial decisions made by AI without human oversight or accountability for the AI's decisions</t>
  </si>
  <si>
    <t>Decision Risk</t>
  </si>
  <si>
    <t>Enforce a GRC model requiring human oversight over AI decision-making</t>
  </si>
  <si>
    <t>Bias in training data can perpetuate stereotypes and lead to inaccurate decision-making</t>
  </si>
  <si>
    <t>Application AI Bias</t>
  </si>
  <si>
    <t>AI</t>
  </si>
  <si>
    <t xml:space="preserve">Customer groups may be unfairly flaggedfor fraud by the AI due to training data suggestions </t>
  </si>
  <si>
    <t>Data Leakage; Reputation Damage; Legal Risk</t>
  </si>
  <si>
    <t>Auditing training data; auditing AI fairness; diversifying training data; apply ethical constraints in AI decision-making</t>
  </si>
  <si>
    <t>Relying on manual processes by human employees for fraud detection</t>
  </si>
  <si>
    <t>Inefficient and delayed response to fraudulent acitivty, limiting effectiveness of remediation</t>
  </si>
  <si>
    <t>Automate detection and response through secure AI implementation</t>
  </si>
  <si>
    <t>Fraud Team; AI Team</t>
  </si>
  <si>
    <t>inconsistent Security Logging</t>
  </si>
  <si>
    <t>Logging across transactional and internal systems is inconsistent</t>
  </si>
  <si>
    <t>Low</t>
  </si>
  <si>
    <t>Delayed/Insufficient Incident Response</t>
  </si>
  <si>
    <t>Incomplete information on the security incident is incomplete may result in insufficient and/or delayed incident response</t>
  </si>
  <si>
    <t>Ensure regular logging in accordance with GDPR regulations and following a minimisation policy</t>
  </si>
  <si>
    <t>Lack of Security Awareness</t>
  </si>
  <si>
    <t>Organisation</t>
  </si>
  <si>
    <t>Employees do not receive frequent security awareness training</t>
  </si>
  <si>
    <t>Employees may be unable to face security risk appropriately, becoming vulnerable to social engineering attacks</t>
  </si>
  <si>
    <t>Potential System Compromise</t>
  </si>
  <si>
    <t>Implement regular security awareness training</t>
  </si>
  <si>
    <t>HR Team; Employees</t>
  </si>
  <si>
    <t>Status of Risk Remediation</t>
  </si>
  <si>
    <t>R-13</t>
  </si>
  <si>
    <t>Manual Fraud Detection</t>
  </si>
  <si>
    <t>Risk Scenario</t>
  </si>
  <si>
    <t>AI Overreliance &amp; Insufficient Explainability</t>
  </si>
  <si>
    <t>Reputation Damage; Legal Risk</t>
  </si>
  <si>
    <t>Insufficient Password Policy Enforcement</t>
  </si>
  <si>
    <t>Row Labels</t>
  </si>
  <si>
    <t>Grand Total</t>
  </si>
  <si>
    <t>Impact (1-5)</t>
  </si>
  <si>
    <t>Escalated</t>
  </si>
  <si>
    <t>Pending</t>
  </si>
  <si>
    <t>Monitoring</t>
  </si>
  <si>
    <t>In Progress</t>
  </si>
  <si>
    <t xml:space="preserve">Closed </t>
  </si>
  <si>
    <t>Lateral Movement; Potential System Compromise; Legal Risk</t>
  </si>
  <si>
    <t>Reputation Damage; Potential System Compromise; Financial Loss</t>
  </si>
  <si>
    <t>Potential System Compromise; Legal Risk</t>
  </si>
  <si>
    <t>ISO 27001</t>
  </si>
  <si>
    <t>GDPR</t>
  </si>
  <si>
    <t>Reputation Damage</t>
  </si>
  <si>
    <t>Financial Loss</t>
  </si>
  <si>
    <t>Legal Risk</t>
  </si>
  <si>
    <t>Lateral Movement</t>
  </si>
  <si>
    <t>Data Leakage</t>
  </si>
  <si>
    <t>Service Disruption</t>
  </si>
  <si>
    <t>Larger Breach Impact</t>
  </si>
  <si>
    <t>Distinct Count of Risk ID</t>
  </si>
  <si>
    <t>Employees</t>
  </si>
  <si>
    <t>HR Team</t>
  </si>
  <si>
    <t>Closed</t>
  </si>
  <si>
    <t>Table1__2__2</t>
  </si>
  <si>
    <t>_x000D_
    Source = Excel.CurrentWorkbook(){[Name="Table1__2__2"]}[Content],_x000D_
    #"Changed Type" = Table.TransformColumnTypes(Source,{{"Risk ID", type text}, {"Risk ", type text}, {"System", type text}, {"Risk Description", type text}, {"Risk Scenario", type text}, {"Impact (1-5)", Int64.Type}, {"Risk Level ", type text}, {"Relevant Framework", type text}, {"Business Impact", type text}, {"Recommendation", type text}, {"Responsible Party", type text}, {"Status of Risk Remediation", type text}}),_x000D_
    #"Filtered Rows" = Table.SelectRows(#"Changed Type", each true),_x000D_
    #"Filtered Rows1" = Table.SelectRows(#"Filtered Rows", each [Relevant Framework] &lt;&gt; null and [Relevant Framework] &lt;&gt; ""),_x000D_
    #"Filtered Rows2" = Table.SelectRows(#"Filtered Rows1", each [Risk Scenario] &lt;&gt; null and [Risk Scenario] &lt;&gt; "")_x000D_
in_x000D_
    #"Filtered Rows2"_x000D_
_x000D_
= Table.SelectRows(#"Previous Step", each [RiskID] &lt;&gt; null and Text.Trim([RiskID]) &lt;&gt; "")_x000D_
= Table.SelectRows(#"Previous Step", each [Risk] &lt;&gt; null and Text.Trim([Risk]) &lt;&gt; "")_x000D_
= Table.SelectRows(#"Previous Step", each [System] &lt;&gt; null and Text.Trim([System]) &lt;&gt; "")_x000D_
= Table.SelectRows(#"Previous Step", each [Risk Description] &lt;&gt; null and Text.Trim([Risk Description]) &lt;&gt; "")_x000D_
= Table.SelectRows(#"Previous Step", each [Risk Scenario] &lt;&gt; null and Text.Trim([Risk Scenario]) &lt;&gt; "")_x000D_
= Table.SelectRows(#"Previous Step", each [Impact] &lt;&gt; null and Text.Trim([Impact]) &lt;&gt; "")</t>
  </si>
  <si>
    <t>Audit security privileges regularly</t>
  </si>
  <si>
    <t>operate on principle of least privilege</t>
  </si>
  <si>
    <t>Ensure sensitive data is encrypted</t>
  </si>
  <si>
    <t>perform log sanitisation</t>
  </si>
  <si>
    <t>minimise logging where possible</t>
  </si>
  <si>
    <t>Implement a policy enforcing unique credentials</t>
  </si>
  <si>
    <t>stronger password policy</t>
  </si>
  <si>
    <t>auditing privileged account credentials</t>
  </si>
  <si>
    <t>Implement prompt filtering</t>
  </si>
  <si>
    <t>auditing AI access controls</t>
  </si>
  <si>
    <t>Formulate baselines through behavioural analytics data</t>
  </si>
  <si>
    <t>implement an anomaly detection system</t>
  </si>
  <si>
    <t>Implement data minimisation policies</t>
  </si>
  <si>
    <t>implement greater data security measures</t>
  </si>
  <si>
    <t>Auditing training data</t>
  </si>
  <si>
    <t>auditing AI fairness</t>
  </si>
  <si>
    <t>diversifying training data</t>
  </si>
  <si>
    <t>apply ethical constraints in AI decision-making</t>
  </si>
  <si>
    <t>Stirling Bank Risk Overview</t>
  </si>
  <si>
    <t>Risk Level</t>
  </si>
  <si>
    <t>Risk</t>
  </si>
  <si>
    <t>Insufficient Incident Response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</si>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</sst>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1"/>
      <name val="Aptos Narrow"/>
      <family val="2"/>
      <scheme val="minor"/>
    </font>
    <font>
      <sz val="11"/>
      <color theme="1"/>
      <name val="Segoe UI"/>
      <family val="2"/>
    </font>
    <font>
      <sz val="11"/>
      <color rgb="FFFF0000"/>
      <name val="Segoe UI"/>
      <family val="2"/>
    </font>
    <font>
      <b/>
      <u/>
      <sz val="36"/>
      <name val="Segoe UI"/>
      <family val="2"/>
    </font>
    <font>
      <sz val="11"/>
      <name val="Segoe UI"/>
      <family val="2"/>
    </font>
    <font>
      <b/>
      <sz val="72"/>
      <name val="Segoe UI"/>
      <family val="2"/>
    </font>
    <font>
      <sz val="28"/>
      <name val="Segoe UI"/>
      <family val="2"/>
    </font>
    <font>
      <b/>
      <sz val="28"/>
      <name val="Segoe UI"/>
      <family val="2"/>
    </font>
  </fonts>
  <fills count="6">
    <fill>
      <patternFill patternType="none"/>
    </fill>
    <fill>
      <patternFill patternType="gray125"/>
    </fill>
    <fill>
      <patternFill patternType="solid">
        <fgColor rgb="FFFF00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5" fillId="5" borderId="0" xfId="0" applyFont="1" applyFill="1"/>
    <xf numFmtId="0" fontId="6" fillId="5" borderId="0" xfId="0" applyFont="1" applyFill="1" applyAlignment="1"/>
    <xf numFmtId="0" fontId="7" fillId="5" borderId="0" xfId="0" applyFont="1" applyFill="1"/>
    <xf numFmtId="0" fontId="4" fillId="0" borderId="0" xfId="0" applyFont="1" applyAlignment="1">
      <alignment horizontal="center"/>
    </xf>
    <xf numFmtId="0" fontId="4" fillId="0" borderId="0" xfId="0" applyFont="1" applyAlignment="1"/>
    <xf numFmtId="0" fontId="8" fillId="5" borderId="0" xfId="0" applyFont="1" applyFill="1" applyAlignment="1">
      <alignment horizontal="center"/>
    </xf>
    <xf numFmtId="9" fontId="4" fillId="0" borderId="0" xfId="1" applyFont="1"/>
    <xf numFmtId="0" fontId="4" fillId="0" borderId="0" xfId="0" applyFont="1"/>
    <xf numFmtId="0" fontId="9" fillId="5" borderId="0" xfId="0" applyFont="1" applyFill="1"/>
    <xf numFmtId="0" fontId="10" fillId="5" borderId="0" xfId="0" applyFont="1" applyFill="1" applyAlignment="1">
      <alignment horizontal="center"/>
    </xf>
  </cellXfs>
  <cellStyles count="2">
    <cellStyle name="Normal" xfId="0" builtinId="0"/>
    <cellStyle name="Per cent" xfId="1" builtinId="5"/>
  </cellStyles>
  <dxfs count="29">
    <dxf>
      <font>
        <b/>
        <i val="0"/>
        <sz val="36"/>
        <color theme="1"/>
        <name val="Segoe UI"/>
        <family val="2"/>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28"/>
        <name val="Segoe UI"/>
        <family val="2"/>
      </font>
      <fill>
        <patternFill patternType="solid">
          <fgColor auto="1"/>
          <bgColor rgb="FF00B0F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5" tint="0.3999755851924192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s>
  <tableStyles count="2" defaultTableStyle="TableStyleMedium2" defaultPivotStyle="PivotStyleLight16">
    <tableStyle name="Slicer Style 1" pivot="0" table="0" count="1" xr9:uid="{1B32F601-3C90-4534-A943-3FAFA871997B}">
      <tableStyleElement type="wholeTable" dxfId="2"/>
    </tableStyle>
    <tableStyle name="SlicerStyleOther1 2" pivot="0" table="0" count="10" xr9:uid="{ED7A466F-CC48-4B25-B3A8-22973DF70418}">
      <tableStyleElement type="wholeTable" dxfId="1"/>
      <tableStyleElement type="headerRow" dxfId="0"/>
    </tableStyle>
  </tableStyles>
  <colors>
    <mruColors>
      <color rgb="FF0099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6.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4.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Spreadsheet.xlsx]Pivot_Severity!PivotTable33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Pivot_Severity!$B$1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Pivot_Severity!$A$2:$A$5</c:f>
              <c:strCache>
                <c:ptCount val="3"/>
                <c:pt idx="0">
                  <c:v>High</c:v>
                </c:pt>
                <c:pt idx="1">
                  <c:v>Medium</c:v>
                </c:pt>
                <c:pt idx="2">
                  <c:v>Low</c:v>
                </c:pt>
              </c:strCache>
            </c:strRef>
          </c:cat>
          <c:val>
            <c:numRef>
              <c:f>Pivot_Severity!$B$2:$B$5</c:f>
              <c:numCache>
                <c:formatCode>General</c:formatCode>
                <c:ptCount val="3"/>
                <c:pt idx="0">
                  <c:v>6</c:v>
                </c:pt>
                <c:pt idx="1">
                  <c:v>5</c:v>
                </c:pt>
                <c:pt idx="2">
                  <c:v>2</c:v>
                </c:pt>
              </c:numCache>
            </c:numRef>
          </c:val>
          <c:extLst>
            <c:ext xmlns:c16="http://schemas.microsoft.com/office/drawing/2014/chart" uri="{C3380CC4-5D6E-409C-BE32-E72D297353CC}">
              <c16:uniqueId val="{00000000-F492-4907-98C7-609C109D32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Spreadsheet.xlsx]Pivot_Frameworks!PivotTable36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Risks Per Framework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7118469165713"/>
          <c:y val="0.10255449647741402"/>
          <c:w val="0.86645759023711777"/>
          <c:h val="0.73426893217295208"/>
        </c:manualLayout>
      </c:layout>
      <c:barChart>
        <c:barDir val="col"/>
        <c:grouping val="clustered"/>
        <c:varyColors val="0"/>
        <c:ser>
          <c:idx val="0"/>
          <c:order val="0"/>
          <c:tx>
            <c:strRef>
              <c:f>Pivot_Frameworks!$B$1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Pivot_Frameworks!$A$2:$A$6</c:f>
              <c:strCache>
                <c:ptCount val="4"/>
                <c:pt idx="0">
                  <c:v>GDPR</c:v>
                </c:pt>
                <c:pt idx="1">
                  <c:v>ISO 27001</c:v>
                </c:pt>
                <c:pt idx="2">
                  <c:v>NIST AI Risk Management Framework</c:v>
                </c:pt>
                <c:pt idx="3">
                  <c:v>NIST Cybersecurity Framework</c:v>
                </c:pt>
              </c:strCache>
            </c:strRef>
          </c:cat>
          <c:val>
            <c:numRef>
              <c:f>Pivot_Frameworks!$B$2:$B$6</c:f>
              <c:numCache>
                <c:formatCode>General</c:formatCode>
                <c:ptCount val="4"/>
                <c:pt idx="0">
                  <c:v>2</c:v>
                </c:pt>
                <c:pt idx="1">
                  <c:v>7</c:v>
                </c:pt>
                <c:pt idx="2">
                  <c:v>3</c:v>
                </c:pt>
                <c:pt idx="3">
                  <c:v>9</c:v>
                </c:pt>
              </c:numCache>
            </c:numRef>
          </c:val>
          <c:extLst>
            <c:ext xmlns:c16="http://schemas.microsoft.com/office/drawing/2014/chart" uri="{C3380CC4-5D6E-409C-BE32-E72D297353CC}">
              <c16:uniqueId val="{00000002-63E8-471D-9FBB-228C3975FC07}"/>
            </c:ext>
          </c:extLst>
        </c:ser>
        <c:dLbls>
          <c:showLegendKey val="0"/>
          <c:showVal val="0"/>
          <c:showCatName val="0"/>
          <c:showSerName val="0"/>
          <c:showPercent val="0"/>
          <c:showBubbleSize val="0"/>
        </c:dLbls>
        <c:gapWidth val="150"/>
        <c:axId val="378716240"/>
        <c:axId val="378705200"/>
      </c:barChart>
      <c:catAx>
        <c:axId val="3787162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705200"/>
        <c:crosses val="autoZero"/>
        <c:auto val="1"/>
        <c:lblAlgn val="ctr"/>
        <c:lblOffset val="100"/>
        <c:noMultiLvlLbl val="0"/>
      </c:catAx>
      <c:valAx>
        <c:axId val="378705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Number of Risks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71624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Spreadsheet.xlsx]Pivot_Systems!PivotTable35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Risks</a:t>
            </a:r>
            <a:r>
              <a:rPr lang="en-US" baseline="0"/>
              <a:t> Per System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Pivot_Systems!$B$1</c:f>
              <c:strCache>
                <c:ptCount val="1"/>
                <c:pt idx="0">
                  <c:v>Total</c:v>
                </c:pt>
              </c:strCache>
            </c:strRef>
          </c:tx>
          <c:spPr>
            <a:solidFill>
              <a:schemeClr val="accent1"/>
            </a:solidFill>
            <a:ln>
              <a:noFill/>
            </a:ln>
            <a:effectLst/>
          </c:spPr>
          <c:invertIfNegative val="0"/>
          <c:cat>
            <c:strRef>
              <c:f>Pivot_Systems!$A$2:$A$8</c:f>
              <c:strCache>
                <c:ptCount val="6"/>
                <c:pt idx="0">
                  <c:v>Core Banking</c:v>
                </c:pt>
                <c:pt idx="1">
                  <c:v>Organisation</c:v>
                </c:pt>
                <c:pt idx="2">
                  <c:v>Fraud Detection</c:v>
                </c:pt>
                <c:pt idx="3">
                  <c:v>AWS</c:v>
                </c:pt>
                <c:pt idx="4">
                  <c:v>Active Directory</c:v>
                </c:pt>
                <c:pt idx="5">
                  <c:v>AI</c:v>
                </c:pt>
              </c:strCache>
            </c:strRef>
          </c:cat>
          <c:val>
            <c:numRef>
              <c:f>Pivot_Systems!$B$2:$B$8</c:f>
              <c:numCache>
                <c:formatCode>General</c:formatCode>
                <c:ptCount val="6"/>
                <c:pt idx="0">
                  <c:v>1</c:v>
                </c:pt>
                <c:pt idx="1">
                  <c:v>1</c:v>
                </c:pt>
                <c:pt idx="2">
                  <c:v>2</c:v>
                </c:pt>
                <c:pt idx="3">
                  <c:v>3</c:v>
                </c:pt>
                <c:pt idx="4">
                  <c:v>3</c:v>
                </c:pt>
                <c:pt idx="5">
                  <c:v>3</c:v>
                </c:pt>
              </c:numCache>
            </c:numRef>
          </c:val>
          <c:extLst>
            <c:ext xmlns:c16="http://schemas.microsoft.com/office/drawing/2014/chart" uri="{C3380CC4-5D6E-409C-BE32-E72D297353CC}">
              <c16:uniqueId val="{00000000-7AC7-47E0-8A39-8580BF225440}"/>
            </c:ext>
          </c:extLst>
        </c:ser>
        <c:dLbls>
          <c:showLegendKey val="0"/>
          <c:showVal val="0"/>
          <c:showCatName val="0"/>
          <c:showSerName val="0"/>
          <c:showPercent val="0"/>
          <c:showBubbleSize val="0"/>
        </c:dLbls>
        <c:gapWidth val="182"/>
        <c:axId val="1883576575"/>
        <c:axId val="1883573695"/>
      </c:barChart>
      <c:catAx>
        <c:axId val="1883576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573695"/>
        <c:crosses val="autoZero"/>
        <c:auto val="1"/>
        <c:lblAlgn val="ctr"/>
        <c:lblOffset val="100"/>
        <c:noMultiLvlLbl val="0"/>
      </c:catAx>
      <c:valAx>
        <c:axId val="1883573695"/>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576575"/>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Spreadsheet.xlsx]Pivot_Impacts!PivotTable37</c:name>
    <c:fmtId val="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600" b="1">
                <a:solidFill>
                  <a:sysClr val="windowText" lastClr="000000"/>
                </a:solidFill>
                <a:latin typeface="Arial" panose="020B0604020202020204" pitchFamily="34" charset="0"/>
                <a:cs typeface="Arial" panose="020B0604020202020204" pitchFamily="34" charset="0"/>
              </a:rPr>
              <a:t>Number of Risks Per Business Impact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Pivot_Impacts!$B$1</c:f>
              <c:strCache>
                <c:ptCount val="1"/>
                <c:pt idx="0">
                  <c:v>Total</c:v>
                </c:pt>
              </c:strCache>
            </c:strRef>
          </c:tx>
          <c:spPr>
            <a:solidFill>
              <a:schemeClr val="accent1"/>
            </a:solidFill>
            <a:ln>
              <a:noFill/>
            </a:ln>
            <a:effectLst/>
          </c:spPr>
          <c:invertIfNegative val="0"/>
          <c:cat>
            <c:strRef>
              <c:f>Pivot_Impacts!$A$2:$A$12</c:f>
              <c:strCache>
                <c:ptCount val="10"/>
                <c:pt idx="0">
                  <c:v>Larger Breach Impact</c:v>
                </c:pt>
                <c:pt idx="1">
                  <c:v>Insufficient Incident Response</c:v>
                </c:pt>
                <c:pt idx="2">
                  <c:v>Service Disruption</c:v>
                </c:pt>
                <c:pt idx="3">
                  <c:v>Decision Risk</c:v>
                </c:pt>
                <c:pt idx="4">
                  <c:v>Lateral Movement</c:v>
                </c:pt>
                <c:pt idx="5">
                  <c:v>Data Leakage</c:v>
                </c:pt>
                <c:pt idx="6">
                  <c:v>Potential System Compromise</c:v>
                </c:pt>
                <c:pt idx="7">
                  <c:v>Financial Loss</c:v>
                </c:pt>
                <c:pt idx="8">
                  <c:v>Legal Risk</c:v>
                </c:pt>
                <c:pt idx="9">
                  <c:v>Reputation Damage</c:v>
                </c:pt>
              </c:strCache>
            </c:strRef>
          </c:cat>
          <c:val>
            <c:numRef>
              <c:f>Pivot_Impacts!$B$2:$B$12</c:f>
              <c:numCache>
                <c:formatCode>General</c:formatCode>
                <c:ptCount val="10"/>
                <c:pt idx="0">
                  <c:v>1</c:v>
                </c:pt>
                <c:pt idx="1">
                  <c:v>1</c:v>
                </c:pt>
                <c:pt idx="2">
                  <c:v>1</c:v>
                </c:pt>
                <c:pt idx="3">
                  <c:v>1</c:v>
                </c:pt>
                <c:pt idx="4">
                  <c:v>2</c:v>
                </c:pt>
                <c:pt idx="5">
                  <c:v>2</c:v>
                </c:pt>
                <c:pt idx="6">
                  <c:v>4</c:v>
                </c:pt>
                <c:pt idx="7">
                  <c:v>4</c:v>
                </c:pt>
                <c:pt idx="8">
                  <c:v>5</c:v>
                </c:pt>
                <c:pt idx="9">
                  <c:v>6</c:v>
                </c:pt>
              </c:numCache>
            </c:numRef>
          </c:val>
          <c:extLst>
            <c:ext xmlns:c16="http://schemas.microsoft.com/office/drawing/2014/chart" uri="{C3380CC4-5D6E-409C-BE32-E72D297353CC}">
              <c16:uniqueId val="{00000000-1FA4-44F1-B6C5-056D59B67D8F}"/>
            </c:ext>
          </c:extLst>
        </c:ser>
        <c:dLbls>
          <c:showLegendKey val="0"/>
          <c:showVal val="0"/>
          <c:showCatName val="0"/>
          <c:showSerName val="0"/>
          <c:showPercent val="0"/>
          <c:showBubbleSize val="0"/>
        </c:dLbls>
        <c:gapWidth val="219"/>
        <c:axId val="554835376"/>
        <c:axId val="554859856"/>
      </c:barChart>
      <c:catAx>
        <c:axId val="55483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4859856"/>
        <c:crosses val="autoZero"/>
        <c:auto val="1"/>
        <c:lblAlgn val="ctr"/>
        <c:lblOffset val="100"/>
        <c:noMultiLvlLbl val="0"/>
      </c:catAx>
      <c:valAx>
        <c:axId val="55485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200">
                    <a:solidFill>
                      <a:sysClr val="windowText" lastClr="000000"/>
                    </a:solidFill>
                    <a:latin typeface="Arial" panose="020B0604020202020204" pitchFamily="34" charset="0"/>
                    <a:cs typeface="Arial" panose="020B0604020202020204" pitchFamily="34" charset="0"/>
                  </a:rPr>
                  <a:t>Number of Risks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483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Spreadsheet.xlsx]Pivot_Teams!PivotTable38</c:name>
    <c:fmtId val="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600" b="1">
                <a:solidFill>
                  <a:sysClr val="windowText" lastClr="000000"/>
                </a:solidFill>
                <a:latin typeface="Arial" panose="020B0604020202020204" pitchFamily="34" charset="0"/>
                <a:cs typeface="Arial" panose="020B0604020202020204" pitchFamily="34" charset="0"/>
              </a:rPr>
              <a:t>Risks</a:t>
            </a:r>
            <a:r>
              <a:rPr lang="en-US" sz="1600" b="1" baseline="0">
                <a:solidFill>
                  <a:sysClr val="windowText" lastClr="000000"/>
                </a:solidFill>
                <a:latin typeface="Arial" panose="020B0604020202020204" pitchFamily="34" charset="0"/>
                <a:cs typeface="Arial" panose="020B0604020202020204" pitchFamily="34" charset="0"/>
              </a:rPr>
              <a:t> Relevant for each Team</a:t>
            </a:r>
            <a:endParaRPr lang="en-US" sz="1600" b="1">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55371448134198E-2"/>
          <c:y val="0.11207587183528377"/>
          <c:w val="0.83593268058883929"/>
          <c:h val="0.70649096898471231"/>
        </c:manualLayout>
      </c:layout>
      <c:barChart>
        <c:barDir val="col"/>
        <c:grouping val="clustered"/>
        <c:varyColors val="0"/>
        <c:ser>
          <c:idx val="0"/>
          <c:order val="0"/>
          <c:tx>
            <c:strRef>
              <c:f>Pivot_Teams!$B$1</c:f>
              <c:strCache>
                <c:ptCount val="1"/>
                <c:pt idx="0">
                  <c:v>Total</c:v>
                </c:pt>
              </c:strCache>
            </c:strRef>
          </c:tx>
          <c:spPr>
            <a:solidFill>
              <a:schemeClr val="accent1"/>
            </a:solidFill>
            <a:ln>
              <a:noFill/>
            </a:ln>
            <a:effectLst/>
          </c:spPr>
          <c:invertIfNegative val="0"/>
          <c:cat>
            <c:strRef>
              <c:f>Pivot_Teams!$A$2:$A$9</c:f>
              <c:strCache>
                <c:ptCount val="7"/>
                <c:pt idx="0">
                  <c:v>Data Team</c:v>
                </c:pt>
                <c:pt idx="1">
                  <c:v>Infrastructure Team</c:v>
                </c:pt>
                <c:pt idx="2">
                  <c:v>HR Team</c:v>
                </c:pt>
                <c:pt idx="3">
                  <c:v>Fraud Team</c:v>
                </c:pt>
                <c:pt idx="4">
                  <c:v>Employees</c:v>
                </c:pt>
                <c:pt idx="5">
                  <c:v>AI Team</c:v>
                </c:pt>
                <c:pt idx="6">
                  <c:v>Security Engineers</c:v>
                </c:pt>
              </c:strCache>
            </c:strRef>
          </c:cat>
          <c:val>
            <c:numRef>
              <c:f>Pivot_Teams!$B$2:$B$9</c:f>
              <c:numCache>
                <c:formatCode>General</c:formatCode>
                <c:ptCount val="7"/>
                <c:pt idx="0">
                  <c:v>1</c:v>
                </c:pt>
                <c:pt idx="1">
                  <c:v>1</c:v>
                </c:pt>
                <c:pt idx="2">
                  <c:v>1</c:v>
                </c:pt>
                <c:pt idx="3">
                  <c:v>2</c:v>
                </c:pt>
                <c:pt idx="4">
                  <c:v>2</c:v>
                </c:pt>
                <c:pt idx="5">
                  <c:v>4</c:v>
                </c:pt>
                <c:pt idx="6">
                  <c:v>5</c:v>
                </c:pt>
              </c:numCache>
            </c:numRef>
          </c:val>
          <c:extLst>
            <c:ext xmlns:c16="http://schemas.microsoft.com/office/drawing/2014/chart" uri="{C3380CC4-5D6E-409C-BE32-E72D297353CC}">
              <c16:uniqueId val="{00000000-1252-442F-8AA0-6F836425474F}"/>
            </c:ext>
          </c:extLst>
        </c:ser>
        <c:dLbls>
          <c:showLegendKey val="0"/>
          <c:showVal val="0"/>
          <c:showCatName val="0"/>
          <c:showSerName val="0"/>
          <c:showPercent val="0"/>
          <c:showBubbleSize val="0"/>
        </c:dLbls>
        <c:gapWidth val="219"/>
        <c:overlap val="-27"/>
        <c:axId val="584505360"/>
        <c:axId val="584497680"/>
      </c:barChart>
      <c:catAx>
        <c:axId val="58450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97680"/>
        <c:crosses val="autoZero"/>
        <c:auto val="1"/>
        <c:lblAlgn val="ctr"/>
        <c:lblOffset val="100"/>
        <c:noMultiLvlLbl val="0"/>
      </c:catAx>
      <c:valAx>
        <c:axId val="58449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200">
                    <a:solidFill>
                      <a:sysClr val="windowText" lastClr="000000"/>
                    </a:solidFill>
                    <a:latin typeface="Arial" panose="020B0604020202020204" pitchFamily="34" charset="0"/>
                    <a:cs typeface="Arial" panose="020B0604020202020204" pitchFamily="34" charset="0"/>
                  </a:rPr>
                  <a:t>Number of Risks</a:t>
                </a:r>
              </a:p>
            </c:rich>
          </c:tx>
          <c:layout>
            <c:manualLayout>
              <c:xMode val="edge"/>
              <c:yMode val="edge"/>
              <c:x val="2.2260869565217393E-2"/>
              <c:y val="0.32713822736822556"/>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50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Spreadsheet.xlsx]Pivot_Status!PivotTable40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Pivot_Status!$B$11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Pivot_Status!$A$12:$A$17</c:f>
              <c:strCache>
                <c:ptCount val="5"/>
                <c:pt idx="0">
                  <c:v>Closed</c:v>
                </c:pt>
                <c:pt idx="1">
                  <c:v>Escalated</c:v>
                </c:pt>
                <c:pt idx="2">
                  <c:v>In Progress</c:v>
                </c:pt>
                <c:pt idx="3">
                  <c:v>Monitoring</c:v>
                </c:pt>
                <c:pt idx="4">
                  <c:v>Pending</c:v>
                </c:pt>
              </c:strCache>
            </c:strRef>
          </c:cat>
          <c:val>
            <c:numRef>
              <c:f>Pivot_Status!$B$12:$B$17</c:f>
              <c:numCache>
                <c:formatCode>General</c:formatCode>
                <c:ptCount val="5"/>
                <c:pt idx="0">
                  <c:v>3</c:v>
                </c:pt>
                <c:pt idx="1">
                  <c:v>1</c:v>
                </c:pt>
                <c:pt idx="2">
                  <c:v>1</c:v>
                </c:pt>
                <c:pt idx="3">
                  <c:v>5</c:v>
                </c:pt>
                <c:pt idx="4">
                  <c:v>3</c:v>
                </c:pt>
              </c:numCache>
            </c:numRef>
          </c:val>
          <c:extLst>
            <c:ext xmlns:c16="http://schemas.microsoft.com/office/drawing/2014/chart" uri="{C3380CC4-5D6E-409C-BE32-E72D297353CC}">
              <c16:uniqueId val="{00000000-CABA-474A-836C-35F8DD23C0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Spreadsheet.xlsx]Pivot_Severity!PivotTable33</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600" b="1">
                <a:solidFill>
                  <a:sysClr val="windowText" lastClr="000000"/>
                </a:solidFill>
                <a:latin typeface="Segoe UI" panose="020B0502040204020203" pitchFamily="34" charset="0"/>
                <a:cs typeface="Segoe UI" panose="020B0502040204020203" pitchFamily="34" charset="0"/>
              </a:rPr>
              <a:t>Risk</a:t>
            </a:r>
            <a:r>
              <a:rPr lang="en-US" sz="1600" b="1" baseline="0">
                <a:solidFill>
                  <a:sysClr val="windowText" lastClr="000000"/>
                </a:solidFill>
                <a:latin typeface="Segoe UI" panose="020B0502040204020203" pitchFamily="34" charset="0"/>
                <a:cs typeface="Segoe UI" panose="020B0502040204020203" pitchFamily="34" charset="0"/>
              </a:rPr>
              <a:t> Severity Overview</a:t>
            </a:r>
          </a:p>
        </c:rich>
      </c:tx>
      <c:layout>
        <c:manualLayout>
          <c:xMode val="edge"/>
          <c:yMode val="edge"/>
          <c:x val="0.25782103589119582"/>
          <c:y val="3.225471315902712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rgbClr val="FFC000"/>
          </a:solidFill>
          <a:ln w="19050">
            <a:solidFill>
              <a:schemeClr val="lt1"/>
            </a:solidFill>
          </a:ln>
          <a:effectLst/>
        </c:spPr>
      </c:pivotFmt>
    </c:pivotFmts>
    <c:plotArea>
      <c:layout>
        <c:manualLayout>
          <c:layoutTarget val="inner"/>
          <c:xMode val="edge"/>
          <c:yMode val="edge"/>
          <c:x val="2.5119265094397887E-2"/>
          <c:y val="0.24845083235782203"/>
          <c:w val="0.6487275025464061"/>
          <c:h val="0.82607519541058283"/>
        </c:manualLayout>
      </c:layout>
      <c:pieChart>
        <c:varyColors val="1"/>
        <c:ser>
          <c:idx val="0"/>
          <c:order val="0"/>
          <c:tx>
            <c:strRef>
              <c:f>Pivot_Severity!$B$1</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4E50-4187-9A04-448C750B851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4E50-4187-9A04-448C750B851E}"/>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4E50-4187-9A04-448C750B851E}"/>
              </c:ext>
            </c:extLst>
          </c:dPt>
          <c:cat>
            <c:strRef>
              <c:f>Pivot_Severity!$A$2:$A$5</c:f>
              <c:strCache>
                <c:ptCount val="3"/>
                <c:pt idx="0">
                  <c:v>High</c:v>
                </c:pt>
                <c:pt idx="1">
                  <c:v>Medium</c:v>
                </c:pt>
                <c:pt idx="2">
                  <c:v>Low</c:v>
                </c:pt>
              </c:strCache>
            </c:strRef>
          </c:cat>
          <c:val>
            <c:numRef>
              <c:f>Pivot_Severity!$B$2:$B$5</c:f>
              <c:numCache>
                <c:formatCode>General</c:formatCode>
                <c:ptCount val="3"/>
                <c:pt idx="0">
                  <c:v>6</c:v>
                </c:pt>
                <c:pt idx="1">
                  <c:v>5</c:v>
                </c:pt>
                <c:pt idx="2">
                  <c:v>2</c:v>
                </c:pt>
              </c:numCache>
            </c:numRef>
          </c:val>
          <c:extLst>
            <c:ext xmlns:c16="http://schemas.microsoft.com/office/drawing/2014/chart" uri="{C3380CC4-5D6E-409C-BE32-E72D297353CC}">
              <c16:uniqueId val="{00000006-4E50-4187-9A04-448C750B851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752744343353072"/>
          <c:y val="0.33377907544879531"/>
          <c:w val="0.21181267581745614"/>
          <c:h val="0.37725291219303103"/>
        </c:manualLayout>
      </c:layout>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lumMod val="15000"/>
          <a:lumOff val="85000"/>
          <a:alpha val="30000"/>
        </a:schemeClr>
      </a:solidFill>
      <a:round/>
    </a:ln>
    <a:effectLst>
      <a:outerShdw blurRad="266700" dist="50800" dir="5400000" algn="ctr" rotWithShape="0">
        <a:srgbClr val="000000">
          <a:alpha val="1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Spreadsheet.xlsx]Pivot_Systems!PivotTable35</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600" b="1">
                <a:solidFill>
                  <a:sysClr val="windowText" lastClr="000000"/>
                </a:solidFill>
                <a:latin typeface="Segoe UI" panose="020B0502040204020203" pitchFamily="34" charset="0"/>
                <a:cs typeface="Segoe UI" panose="020B0502040204020203" pitchFamily="34" charset="0"/>
              </a:rPr>
              <a:t>Risks Per System</a:t>
            </a:r>
          </a:p>
        </c:rich>
      </c:tx>
      <c:layout>
        <c:manualLayout>
          <c:xMode val="edge"/>
          <c:yMode val="edge"/>
          <c:x val="0.32279288718562676"/>
          <c:y val="2.709243040458319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Pivot_Systems!$B$1</c:f>
              <c:strCache>
                <c:ptCount val="1"/>
                <c:pt idx="0">
                  <c:v>Total</c:v>
                </c:pt>
              </c:strCache>
            </c:strRef>
          </c:tx>
          <c:spPr>
            <a:solidFill>
              <a:schemeClr val="accent1"/>
            </a:solidFill>
            <a:ln>
              <a:noFill/>
            </a:ln>
            <a:effectLst/>
          </c:spPr>
          <c:invertIfNegative val="0"/>
          <c:cat>
            <c:strRef>
              <c:f>Pivot_Systems!$A$2:$A$8</c:f>
              <c:strCache>
                <c:ptCount val="6"/>
                <c:pt idx="0">
                  <c:v>Core Banking</c:v>
                </c:pt>
                <c:pt idx="1">
                  <c:v>Organisation</c:v>
                </c:pt>
                <c:pt idx="2">
                  <c:v>Fraud Detection</c:v>
                </c:pt>
                <c:pt idx="3">
                  <c:v>AWS</c:v>
                </c:pt>
                <c:pt idx="4">
                  <c:v>Active Directory</c:v>
                </c:pt>
                <c:pt idx="5">
                  <c:v>AI</c:v>
                </c:pt>
              </c:strCache>
            </c:strRef>
          </c:cat>
          <c:val>
            <c:numRef>
              <c:f>Pivot_Systems!$B$2:$B$8</c:f>
              <c:numCache>
                <c:formatCode>General</c:formatCode>
                <c:ptCount val="6"/>
                <c:pt idx="0">
                  <c:v>1</c:v>
                </c:pt>
                <c:pt idx="1">
                  <c:v>1</c:v>
                </c:pt>
                <c:pt idx="2">
                  <c:v>2</c:v>
                </c:pt>
                <c:pt idx="3">
                  <c:v>3</c:v>
                </c:pt>
                <c:pt idx="4">
                  <c:v>3</c:v>
                </c:pt>
                <c:pt idx="5">
                  <c:v>3</c:v>
                </c:pt>
              </c:numCache>
            </c:numRef>
          </c:val>
          <c:extLst>
            <c:ext xmlns:c16="http://schemas.microsoft.com/office/drawing/2014/chart" uri="{C3380CC4-5D6E-409C-BE32-E72D297353CC}">
              <c16:uniqueId val="{00000000-DE82-4B55-B09F-81EE86F68E7B}"/>
            </c:ext>
          </c:extLst>
        </c:ser>
        <c:dLbls>
          <c:showLegendKey val="0"/>
          <c:showVal val="0"/>
          <c:showCatName val="0"/>
          <c:showSerName val="0"/>
          <c:showPercent val="0"/>
          <c:showBubbleSize val="0"/>
        </c:dLbls>
        <c:gapWidth val="182"/>
        <c:axId val="1883576575"/>
        <c:axId val="1883573695"/>
      </c:barChart>
      <c:catAx>
        <c:axId val="1883576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883573695"/>
        <c:crosses val="autoZero"/>
        <c:auto val="1"/>
        <c:lblAlgn val="ctr"/>
        <c:lblOffset val="100"/>
        <c:noMultiLvlLbl val="0"/>
      </c:catAx>
      <c:valAx>
        <c:axId val="1883573695"/>
        <c:scaling>
          <c:orientation val="minMax"/>
          <c:max val="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GB" sz="1000">
                    <a:solidFill>
                      <a:sysClr val="windowText" lastClr="000000"/>
                    </a:solidFill>
                    <a:latin typeface="Segoe UI" panose="020B0502040204020203" pitchFamily="34" charset="0"/>
                    <a:cs typeface="Segoe UI" panose="020B0502040204020203" pitchFamily="34" charset="0"/>
                  </a:rPr>
                  <a:t>Number of Risks</a:t>
                </a:r>
              </a:p>
            </c:rich>
          </c:tx>
          <c:layout>
            <c:manualLayout>
              <c:xMode val="edge"/>
              <c:yMode val="edge"/>
              <c:x val="0.42089803585147145"/>
              <c:y val="0.8821542400046945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83576575"/>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alpha val="30000"/>
        </a:schemeClr>
      </a:solidFill>
      <a:round/>
    </a:ln>
    <a:effectLst>
      <a:outerShdw blurRad="266700" dist="50800" dir="5400000" algn="ctr" rotWithShape="0">
        <a:srgbClr val="000000">
          <a:alpha val="10000"/>
        </a:srgbClr>
      </a:outerShdw>
    </a:effectLst>
  </c:spPr>
  <c:txPr>
    <a:bodyPr/>
    <a:lstStyle/>
    <a:p>
      <a:pPr>
        <a:defRPr sz="1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Spreadsheet.xlsx]Pivot_Frameworks!PivotTable36</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sz="1600">
                <a:solidFill>
                  <a:sysClr val="windowText" lastClr="000000"/>
                </a:solidFill>
              </a:rPr>
              <a:t>Risks Per Framework</a:t>
            </a:r>
          </a:p>
        </c:rich>
      </c:tx>
      <c:layout>
        <c:manualLayout>
          <c:xMode val="edge"/>
          <c:yMode val="edge"/>
          <c:x val="0.30607807180124325"/>
          <c:y val="3.498649641069039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544212029721"/>
          <c:y val="0.12889958925141481"/>
          <c:w val="0.86453455787970279"/>
          <c:h val="0.68883165032394067"/>
        </c:manualLayout>
      </c:layout>
      <c:barChart>
        <c:barDir val="col"/>
        <c:grouping val="clustered"/>
        <c:varyColors val="0"/>
        <c:ser>
          <c:idx val="0"/>
          <c:order val="0"/>
          <c:tx>
            <c:strRef>
              <c:f>Pivot_Frameworks!$B$1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Pivot_Frameworks!$A$2:$A$6</c:f>
              <c:strCache>
                <c:ptCount val="4"/>
                <c:pt idx="0">
                  <c:v>GDPR</c:v>
                </c:pt>
                <c:pt idx="1">
                  <c:v>ISO 27001</c:v>
                </c:pt>
                <c:pt idx="2">
                  <c:v>NIST AI Risk Management Framework</c:v>
                </c:pt>
                <c:pt idx="3">
                  <c:v>NIST Cybersecurity Framework</c:v>
                </c:pt>
              </c:strCache>
            </c:strRef>
          </c:cat>
          <c:val>
            <c:numRef>
              <c:f>Pivot_Frameworks!$B$2:$B$6</c:f>
              <c:numCache>
                <c:formatCode>General</c:formatCode>
                <c:ptCount val="4"/>
                <c:pt idx="0">
                  <c:v>2</c:v>
                </c:pt>
                <c:pt idx="1">
                  <c:v>7</c:v>
                </c:pt>
                <c:pt idx="2">
                  <c:v>3</c:v>
                </c:pt>
                <c:pt idx="3">
                  <c:v>9</c:v>
                </c:pt>
              </c:numCache>
            </c:numRef>
          </c:val>
          <c:extLst>
            <c:ext xmlns:c16="http://schemas.microsoft.com/office/drawing/2014/chart" uri="{C3380CC4-5D6E-409C-BE32-E72D297353CC}">
              <c16:uniqueId val="{00000001-AAF4-4A48-A46D-4132691FD53E}"/>
            </c:ext>
          </c:extLst>
        </c:ser>
        <c:dLbls>
          <c:showLegendKey val="0"/>
          <c:showVal val="0"/>
          <c:showCatName val="0"/>
          <c:showSerName val="0"/>
          <c:showPercent val="0"/>
          <c:showBubbleSize val="0"/>
        </c:dLbls>
        <c:gapWidth val="150"/>
        <c:axId val="378716240"/>
        <c:axId val="378705200"/>
      </c:barChart>
      <c:catAx>
        <c:axId val="3787162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egoe UI" panose="020B0502040204020203" pitchFamily="34" charset="0"/>
                <a:ea typeface="+mn-ea"/>
                <a:cs typeface="Segoe UI" panose="020B0502040204020203" pitchFamily="34" charset="0"/>
              </a:defRPr>
            </a:pPr>
            <a:endParaRPr lang="en-US"/>
          </a:p>
        </c:txPr>
        <c:crossAx val="378705200"/>
        <c:crosses val="autoZero"/>
        <c:auto val="1"/>
        <c:lblAlgn val="ctr"/>
        <c:lblOffset val="100"/>
        <c:noMultiLvlLbl val="0"/>
      </c:catAx>
      <c:valAx>
        <c:axId val="378705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GB" sz="1100" b="0">
                    <a:solidFill>
                      <a:sysClr val="windowText" lastClr="000000"/>
                    </a:solidFill>
                  </a:rPr>
                  <a:t>Number of Risks</a:t>
                </a:r>
              </a:p>
            </c:rich>
          </c:tx>
          <c:layout>
            <c:manualLayout>
              <c:xMode val="edge"/>
              <c:yMode val="edge"/>
              <c:x val="2.1959505461562435E-2"/>
              <c:y val="0.32371523743530833"/>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Segoe UI" panose="020B0502040204020203" pitchFamily="34" charset="0"/>
                <a:ea typeface="+mn-ea"/>
                <a:cs typeface="Segoe UI" panose="020B0502040204020203" pitchFamily="34" charset="0"/>
              </a:defRPr>
            </a:pPr>
            <a:endParaRPr lang="en-US"/>
          </a:p>
        </c:txPr>
        <c:crossAx val="37871624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alpha val="30000"/>
        </a:schemeClr>
      </a:solidFill>
      <a:round/>
    </a:ln>
    <a:effectLst>
      <a:outerShdw blurRad="266700" dist="50800" dir="5400000" algn="ctr" rotWithShape="0">
        <a:srgbClr val="000000">
          <a:alpha val="10000"/>
        </a:srgbClr>
      </a:outerShdw>
    </a:effectLst>
  </c:spPr>
  <c:txPr>
    <a:bodyPr/>
    <a:lstStyle/>
    <a:p>
      <a:pPr>
        <a:defRPr sz="10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Spreadsheet.xlsx]Pivot_Status!PivotTable39</c:name>
    <c:fmtId val="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600" b="1">
                <a:solidFill>
                  <a:sysClr val="windowText" lastClr="000000"/>
                </a:solidFill>
                <a:latin typeface="Segoe UI" panose="020B0502040204020203" pitchFamily="34" charset="0"/>
                <a:cs typeface="Segoe UI" panose="020B0502040204020203" pitchFamily="34" charset="0"/>
              </a:rPr>
              <a:t>Risk</a:t>
            </a:r>
            <a:r>
              <a:rPr lang="en-US" sz="1600" b="1" baseline="0">
                <a:solidFill>
                  <a:sysClr val="windowText" lastClr="000000"/>
                </a:solidFill>
                <a:latin typeface="Segoe UI" panose="020B0502040204020203" pitchFamily="34" charset="0"/>
                <a:cs typeface="Segoe UI" panose="020B0502040204020203" pitchFamily="34" charset="0"/>
              </a:rPr>
              <a:t> Status Overview</a:t>
            </a:r>
            <a:endParaRPr lang="en-US" sz="1600" b="1">
              <a:solidFill>
                <a:sysClr val="windowText" lastClr="000000"/>
              </a:solidFill>
              <a:latin typeface="Segoe UI" panose="020B0502040204020203" pitchFamily="34" charset="0"/>
              <a:cs typeface="Segoe UI" panose="020B0502040204020203" pitchFamily="34" charset="0"/>
            </a:endParaRPr>
          </a:p>
        </c:rich>
      </c:tx>
      <c:layout>
        <c:manualLayout>
          <c:xMode val="edge"/>
          <c:yMode val="edge"/>
          <c:x val="0.26857608587470777"/>
          <c:y val="2.071352441382648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9900"/>
          </a:solidFill>
          <a:ln w="19050">
            <a:solidFill>
              <a:schemeClr val="lt1"/>
            </a:solidFill>
          </a:ln>
          <a:effectLst/>
        </c:spPr>
      </c:pivotFmt>
      <c:pivotFmt>
        <c:idx val="21"/>
        <c:spPr>
          <a:solidFill>
            <a:srgbClr val="0070C0"/>
          </a:solidFill>
          <a:ln w="19050">
            <a:solidFill>
              <a:schemeClr val="lt1"/>
            </a:solidFill>
          </a:ln>
          <a:effectLst/>
        </c:spPr>
      </c:pivotFmt>
      <c:pivotFmt>
        <c:idx val="22"/>
        <c:spPr>
          <a:solidFill>
            <a:srgbClr val="7030A0"/>
          </a:solidFill>
          <a:ln w="19050">
            <a:solidFill>
              <a:schemeClr val="lt1"/>
            </a:solidFill>
          </a:ln>
          <a:effectLst/>
        </c:spPr>
      </c:pivotFmt>
      <c:pivotFmt>
        <c:idx val="23"/>
        <c:spPr>
          <a:solidFill>
            <a:srgbClr val="C00000"/>
          </a:solidFill>
          <a:ln w="19050">
            <a:solidFill>
              <a:schemeClr val="lt1"/>
            </a:solidFill>
          </a:ln>
          <a:effectLst/>
        </c:spPr>
      </c:pivotFmt>
      <c:pivotFmt>
        <c:idx val="24"/>
        <c:spPr>
          <a:solidFill>
            <a:schemeClr val="bg1">
              <a:lumMod val="50000"/>
            </a:schemeClr>
          </a:solidFill>
          <a:ln w="19050">
            <a:solidFill>
              <a:schemeClr val="lt1"/>
            </a:solidFill>
          </a:ln>
          <a:effectLst/>
        </c:spPr>
      </c:pivotFmt>
    </c:pivotFmts>
    <c:plotArea>
      <c:layout>
        <c:manualLayout>
          <c:layoutTarget val="inner"/>
          <c:xMode val="edge"/>
          <c:yMode val="edge"/>
          <c:x val="1.6703768882014476E-2"/>
          <c:y val="0.16269128154803889"/>
          <c:w val="0.71735070812262314"/>
          <c:h val="0.7999229340526155"/>
        </c:manualLayout>
      </c:layout>
      <c:doughnutChart>
        <c:varyColors val="1"/>
        <c:ser>
          <c:idx val="0"/>
          <c:order val="0"/>
          <c:tx>
            <c:strRef>
              <c:f>Pivot_Status!$B$1</c:f>
              <c:strCache>
                <c:ptCount val="1"/>
                <c:pt idx="0">
                  <c:v>Total</c:v>
                </c:pt>
              </c:strCache>
            </c:strRef>
          </c:tx>
          <c:dPt>
            <c:idx val="0"/>
            <c:bubble3D val="0"/>
            <c:spPr>
              <a:solidFill>
                <a:srgbClr val="009900"/>
              </a:solidFill>
              <a:ln w="19050">
                <a:solidFill>
                  <a:schemeClr val="lt1"/>
                </a:solidFill>
              </a:ln>
              <a:effectLst/>
            </c:spPr>
            <c:extLst>
              <c:ext xmlns:c16="http://schemas.microsoft.com/office/drawing/2014/chart" uri="{C3380CC4-5D6E-409C-BE32-E72D297353CC}">
                <c16:uniqueId val="{00000010-A7B9-4C93-B4F0-9E97E031046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13-A7B9-4C93-B4F0-9E97E031046F}"/>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11-A7B9-4C93-B4F0-9E97E031046F}"/>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12-A7B9-4C93-B4F0-9E97E031046F}"/>
              </c:ext>
            </c:extLst>
          </c:dPt>
          <c:dPt>
            <c:idx val="4"/>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14-A7B9-4C93-B4F0-9E97E031046F}"/>
              </c:ext>
            </c:extLst>
          </c:dPt>
          <c:cat>
            <c:strRef>
              <c:f>Pivot_Status!$A$2:$A$7</c:f>
              <c:strCache>
                <c:ptCount val="5"/>
                <c:pt idx="0">
                  <c:v>Closed</c:v>
                </c:pt>
                <c:pt idx="1">
                  <c:v>Escalated</c:v>
                </c:pt>
                <c:pt idx="2">
                  <c:v>In Progress</c:v>
                </c:pt>
                <c:pt idx="3">
                  <c:v>Monitoring</c:v>
                </c:pt>
                <c:pt idx="4">
                  <c:v>Pending</c:v>
                </c:pt>
              </c:strCache>
            </c:strRef>
          </c:cat>
          <c:val>
            <c:numRef>
              <c:f>Pivot_Status!$B$2:$B$7</c:f>
              <c:numCache>
                <c:formatCode>General</c:formatCode>
                <c:ptCount val="5"/>
                <c:pt idx="0">
                  <c:v>3</c:v>
                </c:pt>
                <c:pt idx="1">
                  <c:v>1</c:v>
                </c:pt>
                <c:pt idx="2">
                  <c:v>1</c:v>
                </c:pt>
                <c:pt idx="3">
                  <c:v>5</c:v>
                </c:pt>
                <c:pt idx="4">
                  <c:v>3</c:v>
                </c:pt>
              </c:numCache>
            </c:numRef>
          </c:val>
          <c:extLst>
            <c:ext xmlns:c16="http://schemas.microsoft.com/office/drawing/2014/chart" uri="{C3380CC4-5D6E-409C-BE32-E72D297353CC}">
              <c16:uniqueId val="{0000000F-A7B9-4C93-B4F0-9E97E03104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483209473661705"/>
          <c:y val="0.23836218357736205"/>
          <c:w val="0.219026413104662"/>
          <c:h val="0.6000337213901035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alpha val="30000"/>
        </a:schemeClr>
      </a:solidFill>
      <a:round/>
    </a:ln>
    <a:effectLst>
      <a:outerShdw blurRad="266700" algn="ctr"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Spreadsheet.xlsx]Pivot_Impacts!PivotTable37</c:name>
    <c:fmtId val="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600" b="1">
                <a:solidFill>
                  <a:sysClr val="windowText" lastClr="000000"/>
                </a:solidFill>
                <a:latin typeface="Segoe UI" panose="020B0502040204020203" pitchFamily="34" charset="0"/>
                <a:cs typeface="Segoe UI" panose="020B0502040204020203" pitchFamily="34" charset="0"/>
              </a:rPr>
              <a:t>Number of Risks Per Business Impact</a:t>
            </a:r>
          </a:p>
        </c:rich>
      </c:tx>
      <c:layout>
        <c:manualLayout>
          <c:xMode val="edge"/>
          <c:yMode val="edge"/>
          <c:x val="0.26754920655965703"/>
          <c:y val="2.575776114256476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94347916902207"/>
          <c:y val="0.16059753289656631"/>
          <c:w val="0.62636282401040644"/>
          <c:h val="0.70175077583617895"/>
        </c:manualLayout>
      </c:layout>
      <c:barChart>
        <c:barDir val="bar"/>
        <c:grouping val="clustered"/>
        <c:varyColors val="0"/>
        <c:ser>
          <c:idx val="0"/>
          <c:order val="0"/>
          <c:tx>
            <c:strRef>
              <c:f>Pivot_Impacts!$B$1</c:f>
              <c:strCache>
                <c:ptCount val="1"/>
                <c:pt idx="0">
                  <c:v>Total</c:v>
                </c:pt>
              </c:strCache>
            </c:strRef>
          </c:tx>
          <c:spPr>
            <a:solidFill>
              <a:schemeClr val="accent1"/>
            </a:solidFill>
            <a:ln>
              <a:noFill/>
            </a:ln>
            <a:effectLst/>
          </c:spPr>
          <c:invertIfNegative val="0"/>
          <c:cat>
            <c:strRef>
              <c:f>Pivot_Impacts!$A$2:$A$12</c:f>
              <c:strCache>
                <c:ptCount val="10"/>
                <c:pt idx="0">
                  <c:v>Larger Breach Impact</c:v>
                </c:pt>
                <c:pt idx="1">
                  <c:v>Insufficient Incident Response</c:v>
                </c:pt>
                <c:pt idx="2">
                  <c:v>Service Disruption</c:v>
                </c:pt>
                <c:pt idx="3">
                  <c:v>Decision Risk</c:v>
                </c:pt>
                <c:pt idx="4">
                  <c:v>Lateral Movement</c:v>
                </c:pt>
                <c:pt idx="5">
                  <c:v>Data Leakage</c:v>
                </c:pt>
                <c:pt idx="6">
                  <c:v>Potential System Compromise</c:v>
                </c:pt>
                <c:pt idx="7">
                  <c:v>Financial Loss</c:v>
                </c:pt>
                <c:pt idx="8">
                  <c:v>Legal Risk</c:v>
                </c:pt>
                <c:pt idx="9">
                  <c:v>Reputation Damage</c:v>
                </c:pt>
              </c:strCache>
            </c:strRef>
          </c:cat>
          <c:val>
            <c:numRef>
              <c:f>Pivot_Impacts!$B$2:$B$12</c:f>
              <c:numCache>
                <c:formatCode>General</c:formatCode>
                <c:ptCount val="10"/>
                <c:pt idx="0">
                  <c:v>1</c:v>
                </c:pt>
                <c:pt idx="1">
                  <c:v>1</c:v>
                </c:pt>
                <c:pt idx="2">
                  <c:v>1</c:v>
                </c:pt>
                <c:pt idx="3">
                  <c:v>1</c:v>
                </c:pt>
                <c:pt idx="4">
                  <c:v>2</c:v>
                </c:pt>
                <c:pt idx="5">
                  <c:v>2</c:v>
                </c:pt>
                <c:pt idx="6">
                  <c:v>4</c:v>
                </c:pt>
                <c:pt idx="7">
                  <c:v>4</c:v>
                </c:pt>
                <c:pt idx="8">
                  <c:v>5</c:v>
                </c:pt>
                <c:pt idx="9">
                  <c:v>6</c:v>
                </c:pt>
              </c:numCache>
            </c:numRef>
          </c:val>
          <c:extLst>
            <c:ext xmlns:c16="http://schemas.microsoft.com/office/drawing/2014/chart" uri="{C3380CC4-5D6E-409C-BE32-E72D297353CC}">
              <c16:uniqueId val="{00000000-E180-4944-8475-970955E3CFCD}"/>
            </c:ext>
          </c:extLst>
        </c:ser>
        <c:dLbls>
          <c:showLegendKey val="0"/>
          <c:showVal val="0"/>
          <c:showCatName val="0"/>
          <c:showSerName val="0"/>
          <c:showPercent val="0"/>
          <c:showBubbleSize val="0"/>
        </c:dLbls>
        <c:gapWidth val="219"/>
        <c:axId val="554835376"/>
        <c:axId val="554859856"/>
      </c:barChart>
      <c:catAx>
        <c:axId val="55483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554859856"/>
        <c:crosses val="autoZero"/>
        <c:auto val="1"/>
        <c:lblAlgn val="ctr"/>
        <c:lblOffset val="100"/>
        <c:noMultiLvlLbl val="0"/>
      </c:catAx>
      <c:valAx>
        <c:axId val="55485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GB" sz="1050">
                    <a:solidFill>
                      <a:sysClr val="windowText" lastClr="000000"/>
                    </a:solidFill>
                    <a:latin typeface="Segoe UI" panose="020B0502040204020203" pitchFamily="34" charset="0"/>
                    <a:cs typeface="Segoe UI" panose="020B0502040204020203" pitchFamily="34" charset="0"/>
                  </a:rPr>
                  <a:t>Number of Risks</a:t>
                </a:r>
              </a:p>
            </c:rich>
          </c:tx>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5483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alpha val="30000"/>
        </a:schemeClr>
      </a:solidFill>
      <a:round/>
    </a:ln>
    <a:effectLst>
      <a:outerShdw blurRad="266700" algn="ctr"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[Risk Audit Spreadsheet.xlsx]Pivot_Teams!PivotTable38</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600" b="1">
                <a:solidFill>
                  <a:sysClr val="windowText" lastClr="000000"/>
                </a:solidFill>
                <a:latin typeface="Segoe UI" panose="020B0502040204020203" pitchFamily="34" charset="0"/>
                <a:cs typeface="Segoe UI" panose="020B0502040204020203" pitchFamily="34" charset="0"/>
              </a:rPr>
              <a:t>Risks</a:t>
            </a:r>
            <a:r>
              <a:rPr lang="en-US" sz="1600" b="1" baseline="0">
                <a:solidFill>
                  <a:sysClr val="windowText" lastClr="000000"/>
                </a:solidFill>
                <a:latin typeface="Segoe UI" panose="020B0502040204020203" pitchFamily="34" charset="0"/>
                <a:cs typeface="Segoe UI" panose="020B0502040204020203" pitchFamily="34" charset="0"/>
              </a:rPr>
              <a:t> Relevant for each Team</a:t>
            </a:r>
            <a:endParaRPr lang="en-US" sz="1600" b="1">
              <a:solidFill>
                <a:sysClr val="windowText" lastClr="000000"/>
              </a:solidFill>
              <a:latin typeface="Segoe UI" panose="020B0502040204020203" pitchFamily="34" charset="0"/>
              <a:cs typeface="Segoe UI" panose="020B0502040204020203" pitchFamily="34" charset="0"/>
            </a:endParaRPr>
          </a:p>
        </c:rich>
      </c:tx>
      <c:layout>
        <c:manualLayout>
          <c:xMode val="edge"/>
          <c:yMode val="edge"/>
          <c:x val="0.31678688034725505"/>
          <c:y val="3.96543923450608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68175104859665E-2"/>
          <c:y val="0.18604167841702449"/>
          <c:w val="0.83071991903290143"/>
          <c:h val="0.63252503132747573"/>
        </c:manualLayout>
      </c:layout>
      <c:barChart>
        <c:barDir val="col"/>
        <c:grouping val="clustered"/>
        <c:varyColors val="0"/>
        <c:ser>
          <c:idx val="0"/>
          <c:order val="0"/>
          <c:tx>
            <c:strRef>
              <c:f>Pivot_Teams!$B$1</c:f>
              <c:strCache>
                <c:ptCount val="1"/>
                <c:pt idx="0">
                  <c:v>Total</c:v>
                </c:pt>
              </c:strCache>
            </c:strRef>
          </c:tx>
          <c:spPr>
            <a:solidFill>
              <a:schemeClr val="accent1"/>
            </a:solidFill>
            <a:ln>
              <a:noFill/>
            </a:ln>
            <a:effectLst/>
          </c:spPr>
          <c:invertIfNegative val="0"/>
          <c:cat>
            <c:strRef>
              <c:f>Pivot_Teams!$A$2:$A$9</c:f>
              <c:strCache>
                <c:ptCount val="7"/>
                <c:pt idx="0">
                  <c:v>Data Team</c:v>
                </c:pt>
                <c:pt idx="1">
                  <c:v>Infrastructure Team</c:v>
                </c:pt>
                <c:pt idx="2">
                  <c:v>HR Team</c:v>
                </c:pt>
                <c:pt idx="3">
                  <c:v>Fraud Team</c:v>
                </c:pt>
                <c:pt idx="4">
                  <c:v>Employees</c:v>
                </c:pt>
                <c:pt idx="5">
                  <c:v>AI Team</c:v>
                </c:pt>
                <c:pt idx="6">
                  <c:v>Security Engineers</c:v>
                </c:pt>
              </c:strCache>
            </c:strRef>
          </c:cat>
          <c:val>
            <c:numRef>
              <c:f>Pivot_Teams!$B$2:$B$9</c:f>
              <c:numCache>
                <c:formatCode>General</c:formatCode>
                <c:ptCount val="7"/>
                <c:pt idx="0">
                  <c:v>1</c:v>
                </c:pt>
                <c:pt idx="1">
                  <c:v>1</c:v>
                </c:pt>
                <c:pt idx="2">
                  <c:v>1</c:v>
                </c:pt>
                <c:pt idx="3">
                  <c:v>2</c:v>
                </c:pt>
                <c:pt idx="4">
                  <c:v>2</c:v>
                </c:pt>
                <c:pt idx="5">
                  <c:v>4</c:v>
                </c:pt>
                <c:pt idx="6">
                  <c:v>5</c:v>
                </c:pt>
              </c:numCache>
            </c:numRef>
          </c:val>
          <c:extLst>
            <c:ext xmlns:c16="http://schemas.microsoft.com/office/drawing/2014/chart" uri="{C3380CC4-5D6E-409C-BE32-E72D297353CC}">
              <c16:uniqueId val="{00000000-7EF1-4423-9942-A0F9BFF5C0D9}"/>
            </c:ext>
          </c:extLst>
        </c:ser>
        <c:dLbls>
          <c:showLegendKey val="0"/>
          <c:showVal val="0"/>
          <c:showCatName val="0"/>
          <c:showSerName val="0"/>
          <c:showPercent val="0"/>
          <c:showBubbleSize val="0"/>
        </c:dLbls>
        <c:gapWidth val="219"/>
        <c:overlap val="-27"/>
        <c:axId val="584505360"/>
        <c:axId val="584497680"/>
      </c:barChart>
      <c:catAx>
        <c:axId val="58450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584497680"/>
        <c:crosses val="autoZero"/>
        <c:auto val="1"/>
        <c:lblAlgn val="ctr"/>
        <c:lblOffset val="100"/>
        <c:noMultiLvlLbl val="0"/>
      </c:catAx>
      <c:valAx>
        <c:axId val="58449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GB" sz="1100">
                    <a:solidFill>
                      <a:sysClr val="windowText" lastClr="000000"/>
                    </a:solidFill>
                    <a:latin typeface="Segoe UI" panose="020B0502040204020203" pitchFamily="34" charset="0"/>
                    <a:cs typeface="Segoe UI" panose="020B0502040204020203" pitchFamily="34" charset="0"/>
                  </a:rPr>
                  <a:t>Number of Risks</a:t>
                </a:r>
              </a:p>
            </c:rich>
          </c:tx>
          <c:layout>
            <c:manualLayout>
              <c:xMode val="edge"/>
              <c:yMode val="edge"/>
              <c:x val="1.2431745047171271E-2"/>
              <c:y val="0.3121260382668093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58450536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alpha val="30000"/>
        </a:schemeClr>
      </a:solidFill>
      <a:round/>
      <a:extLst>
        <a:ext uri="{C807C97D-BFC1-408E-A445-0C87EB9F89A2}">
          <ask:lineSketchStyleProps xmlns:ask="http://schemas.microsoft.com/office/drawing/2018/sketchyshapes">
            <ask:type>
              <ask:lineSketchNone/>
            </ask:type>
          </ask:lineSketchStyleProps>
        </a:ext>
      </a:extLst>
    </a:ln>
    <a:effectLst>
      <a:outerShdw blurRad="266700" algn="ctr"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GB" sz="1200" b="1">
                <a:solidFill>
                  <a:sysClr val="windowText" lastClr="000000"/>
                </a:solidFill>
                <a:latin typeface="Segoe UI" panose="020B0502040204020203" pitchFamily="34" charset="0"/>
                <a:cs typeface="Segoe UI" panose="020B0502040204020203" pitchFamily="34" charset="0"/>
              </a:rPr>
              <a:t>Risks</a:t>
            </a:r>
          </a:p>
          <a:p>
            <a:pPr>
              <a:defRPr sz="1200">
                <a:solidFill>
                  <a:sysClr val="windowText" lastClr="000000"/>
                </a:solidFill>
              </a:defRPr>
            </a:pPr>
            <a:r>
              <a:rPr lang="en-GB" sz="1200" b="1">
                <a:solidFill>
                  <a:sysClr val="windowText" lastClr="000000"/>
                </a:solidFill>
                <a:latin typeface="Segoe UI" panose="020B0502040204020203" pitchFamily="34" charset="0"/>
                <a:cs typeface="Segoe UI" panose="020B0502040204020203" pitchFamily="34" charset="0"/>
              </a:rPr>
              <a:t>Closed</a:t>
            </a:r>
          </a:p>
        </c:rich>
      </c:tx>
      <c:layout>
        <c:manualLayout>
          <c:xMode val="edge"/>
          <c:yMode val="edge"/>
          <c:x val="0.60884390815248912"/>
          <c:y val="0.274778885267740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5410725690931543"/>
          <c:y val="0.11400565421100649"/>
          <c:w val="0.43439652467773787"/>
          <c:h val="0.95506875037147887"/>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2-A56A-47D8-8BDB-7D4E3D532DAD}"/>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A56A-47D8-8BDB-7D4E3D532DAD}"/>
              </c:ext>
            </c:extLst>
          </c:dPt>
          <c:val>
            <c:numRef>
              <c:f>Dashboard!$J$16:$K$16</c:f>
              <c:numCache>
                <c:formatCode>General</c:formatCode>
                <c:ptCount val="2"/>
                <c:pt idx="0">
                  <c:v>3</c:v>
                </c:pt>
                <c:pt idx="1">
                  <c:v>10</c:v>
                </c:pt>
              </c:numCache>
            </c:numRef>
          </c:val>
          <c:extLst>
            <c:ext xmlns:c16="http://schemas.microsoft.com/office/drawing/2014/chart" uri="{C3380CC4-5D6E-409C-BE32-E72D297353CC}">
              <c16:uniqueId val="{00000000-A56A-47D8-8BDB-7D4E3D532DAD}"/>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1</xdr:col>
      <xdr:colOff>1639980</xdr:colOff>
      <xdr:row>18</xdr:row>
      <xdr:rowOff>11019</xdr:rowOff>
    </xdr:from>
    <xdr:to>
      <xdr:col>2</xdr:col>
      <xdr:colOff>809251</xdr:colOff>
      <xdr:row>32</xdr:row>
      <xdr:rowOff>106266</xdr:rowOff>
    </xdr:to>
    <mc:AlternateContent xmlns:mc="http://schemas.openxmlformats.org/markup-compatibility/2006" xmlns:sle15="http://schemas.microsoft.com/office/drawing/2012/slicer">
      <mc:Choice Requires="sle15">
        <xdr:graphicFrame macro="">
          <xdr:nvGraphicFramePr>
            <xdr:cNvPr id="2" name="System">
              <a:extLst>
                <a:ext uri="{FF2B5EF4-FFF2-40B4-BE49-F238E27FC236}">
                  <a16:creationId xmlns:a16="http://schemas.microsoft.com/office/drawing/2014/main" id="{AE349DDD-7DCB-684F-CE83-A8F9C78D204B}"/>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mlns="">
        <xdr:sp macro="" textlink="">
          <xdr:nvSpPr>
            <xdr:cNvPr id="0" name=""/>
            <xdr:cNvSpPr>
              <a:spLocks noTextEdit="1"/>
            </xdr:cNvSpPr>
          </xdr:nvSpPr>
          <xdr:spPr>
            <a:xfrm>
              <a:off x="2828925" y="6153150"/>
              <a:ext cx="1828800" cy="262254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637054</xdr:colOff>
      <xdr:row>18</xdr:row>
      <xdr:rowOff>30069</xdr:rowOff>
    </xdr:from>
    <xdr:to>
      <xdr:col>1</xdr:col>
      <xdr:colOff>1636805</xdr:colOff>
      <xdr:row>32</xdr:row>
      <xdr:rowOff>106269</xdr:rowOff>
    </xdr:to>
    <mc:AlternateContent xmlns:mc="http://schemas.openxmlformats.org/markup-compatibility/2006" xmlns:sle15="http://schemas.microsoft.com/office/drawing/2012/slicer">
      <mc:Choice Requires="sle15">
        <xdr:graphicFrame macro="">
          <xdr:nvGraphicFramePr>
            <xdr:cNvPr id="3" name="Risk Level ">
              <a:extLst>
                <a:ext uri="{FF2B5EF4-FFF2-40B4-BE49-F238E27FC236}">
                  <a16:creationId xmlns:a16="http://schemas.microsoft.com/office/drawing/2014/main" id="{3AFA6235-EE48-4665-BA26-C3675ED6DA9D}"/>
                </a:ext>
              </a:extLst>
            </xdr:cNvPr>
            <xdr:cNvGraphicFramePr/>
          </xdr:nvGraphicFramePr>
          <xdr:xfrm>
            <a:off x="0" y="0"/>
            <a:ext cx="0" cy="0"/>
          </xdr:xfrm>
          <a:graphic>
            <a:graphicData uri="http://schemas.microsoft.com/office/drawing/2010/slicer">
              <sle:slicer xmlns:sle="http://schemas.microsoft.com/office/drawing/2010/slicer" name="Risk Level "/>
            </a:graphicData>
          </a:graphic>
        </xdr:graphicFrame>
      </mc:Choice>
      <mc:Fallback xmlns="">
        <xdr:sp macro="" textlink="">
          <xdr:nvSpPr>
            <xdr:cNvPr id="0" name=""/>
            <xdr:cNvSpPr>
              <a:spLocks noTextEdit="1"/>
            </xdr:cNvSpPr>
          </xdr:nvSpPr>
          <xdr:spPr>
            <a:xfrm>
              <a:off x="638175" y="6149975"/>
              <a:ext cx="2187575" cy="2622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182562</xdr:colOff>
      <xdr:row>13</xdr:row>
      <xdr:rowOff>26987</xdr:rowOff>
    </xdr:from>
    <xdr:to>
      <xdr:col>19</xdr:col>
      <xdr:colOff>487362</xdr:colOff>
      <xdr:row>28</xdr:row>
      <xdr:rowOff>58737</xdr:rowOff>
    </xdr:to>
    <xdr:graphicFrame macro="">
      <xdr:nvGraphicFramePr>
        <xdr:cNvPr id="3" name="Chart 2">
          <a:extLst>
            <a:ext uri="{FF2B5EF4-FFF2-40B4-BE49-F238E27FC236}">
              <a16:creationId xmlns:a16="http://schemas.microsoft.com/office/drawing/2014/main" id="{98157F8F-C635-5DA1-9CF7-C21BDE2D7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581025</xdr:colOff>
      <xdr:row>10</xdr:row>
      <xdr:rowOff>47625</xdr:rowOff>
    </xdr:from>
    <xdr:to>
      <xdr:col>6</xdr:col>
      <xdr:colOff>577850</xdr:colOff>
      <xdr:row>24</xdr:row>
      <xdr:rowOff>133347</xdr:rowOff>
    </xdr:to>
    <mc:AlternateContent xmlns:mc="http://schemas.openxmlformats.org/markup-compatibility/2006">
      <mc:Choice xmlns:a14="http://schemas.microsoft.com/office/drawing/2010/main" Requires="a14">
        <xdr:graphicFrame macro="">
          <xdr:nvGraphicFramePr>
            <xdr:cNvPr id="4" name="Risk Level">
              <a:extLst>
                <a:ext uri="{FF2B5EF4-FFF2-40B4-BE49-F238E27FC236}">
                  <a16:creationId xmlns:a16="http://schemas.microsoft.com/office/drawing/2014/main" id="{981D954C-47DA-5FC7-26DB-6DEFD66994D3}"/>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dr:sp macro="" textlink="">
          <xdr:nvSpPr>
            <xdr:cNvPr id="0" name=""/>
            <xdr:cNvSpPr>
              <a:spLocks noTextEdit="1"/>
            </xdr:cNvSpPr>
          </xdr:nvSpPr>
          <xdr:spPr>
            <a:xfrm>
              <a:off x="3663950" y="1854200"/>
              <a:ext cx="1831975" cy="26225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111125</xdr:colOff>
      <xdr:row>10</xdr:row>
      <xdr:rowOff>53975</xdr:rowOff>
    </xdr:from>
    <xdr:to>
      <xdr:col>10</xdr:col>
      <xdr:colOff>111125</xdr:colOff>
      <xdr:row>24</xdr:row>
      <xdr:rowOff>146047</xdr:rowOff>
    </xdr:to>
    <mc:AlternateContent xmlns:mc="http://schemas.openxmlformats.org/markup-compatibility/2006">
      <mc:Choice xmlns:a14="http://schemas.microsoft.com/office/drawing/2010/main" Requires="a14">
        <xdr:graphicFrame macro="">
          <xdr:nvGraphicFramePr>
            <xdr:cNvPr id="5" name="System 1">
              <a:extLst>
                <a:ext uri="{FF2B5EF4-FFF2-40B4-BE49-F238E27FC236}">
                  <a16:creationId xmlns:a16="http://schemas.microsoft.com/office/drawing/2014/main" id="{88B9E525-E384-858F-23F5-14CEDA5782A0}"/>
                </a:ext>
              </a:extLst>
            </xdr:cNvPr>
            <xdr:cNvGraphicFramePr/>
          </xdr:nvGraphicFramePr>
          <xdr:xfrm>
            <a:off x="0" y="0"/>
            <a:ext cx="0" cy="0"/>
          </xdr:xfrm>
          <a:graphic>
            <a:graphicData uri="http://schemas.microsoft.com/office/drawing/2010/slicer">
              <sle:slicer xmlns:sle="http://schemas.microsoft.com/office/drawing/2010/slicer" name="System 1"/>
            </a:graphicData>
          </a:graphic>
        </xdr:graphicFrame>
      </mc:Choice>
      <mc:Fallback>
        <xdr:sp macro="" textlink="">
          <xdr:nvSpPr>
            <xdr:cNvPr id="0" name=""/>
            <xdr:cNvSpPr>
              <a:spLocks noTextEdit="1"/>
            </xdr:cNvSpPr>
          </xdr:nvSpPr>
          <xdr:spPr>
            <a:xfrm>
              <a:off x="5635625" y="1863725"/>
              <a:ext cx="1828800" cy="26225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320675</xdr:colOff>
      <xdr:row>10</xdr:row>
      <xdr:rowOff>101600</xdr:rowOff>
    </xdr:from>
    <xdr:to>
      <xdr:col>13</xdr:col>
      <xdr:colOff>320675</xdr:colOff>
      <xdr:row>25</xdr:row>
      <xdr:rowOff>12697</xdr:rowOff>
    </xdr:to>
    <mc:AlternateContent xmlns:mc="http://schemas.openxmlformats.org/markup-compatibility/2006">
      <mc:Choice xmlns:a14="http://schemas.microsoft.com/office/drawing/2010/main" Requires="a14">
        <xdr:graphicFrame macro="">
          <xdr:nvGraphicFramePr>
            <xdr:cNvPr id="6" name="Status of Risk Remediation">
              <a:extLst>
                <a:ext uri="{FF2B5EF4-FFF2-40B4-BE49-F238E27FC236}">
                  <a16:creationId xmlns:a16="http://schemas.microsoft.com/office/drawing/2014/main" id="{7BA69148-6D00-B57D-9D4C-2515B906AB00}"/>
                </a:ext>
              </a:extLst>
            </xdr:cNvPr>
            <xdr:cNvGraphicFramePr/>
          </xdr:nvGraphicFramePr>
          <xdr:xfrm>
            <a:off x="0" y="0"/>
            <a:ext cx="0" cy="0"/>
          </xdr:xfrm>
          <a:graphic>
            <a:graphicData uri="http://schemas.microsoft.com/office/drawing/2010/slicer">
              <sle:slicer xmlns:sle="http://schemas.microsoft.com/office/drawing/2010/slicer" name="Status of Risk Remediation"/>
            </a:graphicData>
          </a:graphic>
        </xdr:graphicFrame>
      </mc:Choice>
      <mc:Fallback>
        <xdr:sp macro="" textlink="">
          <xdr:nvSpPr>
            <xdr:cNvPr id="0" name=""/>
            <xdr:cNvSpPr>
              <a:spLocks noTextEdit="1"/>
            </xdr:cNvSpPr>
          </xdr:nvSpPr>
          <xdr:spPr>
            <a:xfrm>
              <a:off x="7673975" y="1914525"/>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6350</xdr:colOff>
      <xdr:row>10</xdr:row>
      <xdr:rowOff>101600</xdr:rowOff>
    </xdr:from>
    <xdr:to>
      <xdr:col>17</xdr:col>
      <xdr:colOff>6350</xdr:colOff>
      <xdr:row>25</xdr:row>
      <xdr:rowOff>12697</xdr:rowOff>
    </xdr:to>
    <mc:AlternateContent xmlns:mc="http://schemas.openxmlformats.org/markup-compatibility/2006">
      <mc:Choice xmlns:a14="http://schemas.microsoft.com/office/drawing/2010/main" Requires="a14">
        <xdr:graphicFrame macro="">
          <xdr:nvGraphicFramePr>
            <xdr:cNvPr id="7" name="Relevant Framework">
              <a:extLst>
                <a:ext uri="{FF2B5EF4-FFF2-40B4-BE49-F238E27FC236}">
                  <a16:creationId xmlns:a16="http://schemas.microsoft.com/office/drawing/2014/main" id="{C3B9C544-55CF-6E72-79E8-0FE3A79E4068}"/>
                </a:ext>
              </a:extLst>
            </xdr:cNvPr>
            <xdr:cNvGraphicFramePr/>
          </xdr:nvGraphicFramePr>
          <xdr:xfrm>
            <a:off x="0" y="0"/>
            <a:ext cx="0" cy="0"/>
          </xdr:xfrm>
          <a:graphic>
            <a:graphicData uri="http://schemas.microsoft.com/office/drawing/2010/slicer">
              <sle:slicer xmlns:sle="http://schemas.microsoft.com/office/drawing/2010/slicer" name="Relevant Framework"/>
            </a:graphicData>
          </a:graphic>
        </xdr:graphicFrame>
      </mc:Choice>
      <mc:Fallback>
        <xdr:sp macro="" textlink="">
          <xdr:nvSpPr>
            <xdr:cNvPr id="0" name=""/>
            <xdr:cNvSpPr>
              <a:spLocks noTextEdit="1"/>
            </xdr:cNvSpPr>
          </xdr:nvSpPr>
          <xdr:spPr>
            <a:xfrm>
              <a:off x="9801225" y="1914525"/>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304800</xdr:colOff>
      <xdr:row>6</xdr:row>
      <xdr:rowOff>165099</xdr:rowOff>
    </xdr:from>
    <xdr:to>
      <xdr:col>15</xdr:col>
      <xdr:colOff>390525</xdr:colOff>
      <xdr:row>31</xdr:row>
      <xdr:rowOff>165099</xdr:rowOff>
    </xdr:to>
    <xdr:graphicFrame macro="">
      <xdr:nvGraphicFramePr>
        <xdr:cNvPr id="2" name="Chart 1">
          <a:extLst>
            <a:ext uri="{FF2B5EF4-FFF2-40B4-BE49-F238E27FC236}">
              <a16:creationId xmlns:a16="http://schemas.microsoft.com/office/drawing/2014/main" id="{CA27669B-575C-C909-48DC-714A619A9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295275</xdr:colOff>
      <xdr:row>7</xdr:row>
      <xdr:rowOff>93662</xdr:rowOff>
    </xdr:from>
    <xdr:to>
      <xdr:col>15</xdr:col>
      <xdr:colOff>333375</xdr:colOff>
      <xdr:row>22</xdr:row>
      <xdr:rowOff>125412</xdr:rowOff>
    </xdr:to>
    <xdr:graphicFrame macro="">
      <xdr:nvGraphicFramePr>
        <xdr:cNvPr id="3" name="Chart 2">
          <a:extLst>
            <a:ext uri="{FF2B5EF4-FFF2-40B4-BE49-F238E27FC236}">
              <a16:creationId xmlns:a16="http://schemas.microsoft.com/office/drawing/2014/main" id="{8D841CBC-46BD-354F-4DA4-A0181B658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419099</xdr:colOff>
      <xdr:row>6</xdr:row>
      <xdr:rowOff>96835</xdr:rowOff>
    </xdr:from>
    <xdr:to>
      <xdr:col>17</xdr:col>
      <xdr:colOff>269874</xdr:colOff>
      <xdr:row>34</xdr:row>
      <xdr:rowOff>155574</xdr:rowOff>
    </xdr:to>
    <xdr:graphicFrame macro="">
      <xdr:nvGraphicFramePr>
        <xdr:cNvPr id="2" name="Chart 1">
          <a:extLst>
            <a:ext uri="{FF2B5EF4-FFF2-40B4-BE49-F238E27FC236}">
              <a16:creationId xmlns:a16="http://schemas.microsoft.com/office/drawing/2014/main" id="{3E52BFC8-A0C6-62C9-2337-FE5D98BFA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139699</xdr:colOff>
      <xdr:row>5</xdr:row>
      <xdr:rowOff>84136</xdr:rowOff>
    </xdr:from>
    <xdr:to>
      <xdr:col>21</xdr:col>
      <xdr:colOff>123824</xdr:colOff>
      <xdr:row>29</xdr:row>
      <xdr:rowOff>95249</xdr:rowOff>
    </xdr:to>
    <xdr:graphicFrame macro="">
      <xdr:nvGraphicFramePr>
        <xdr:cNvPr id="2" name="Chart 1">
          <a:extLst>
            <a:ext uri="{FF2B5EF4-FFF2-40B4-BE49-F238E27FC236}">
              <a16:creationId xmlns:a16="http://schemas.microsoft.com/office/drawing/2014/main" id="{3AF96505-6239-503E-0854-29402B671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104775</xdr:colOff>
      <xdr:row>4</xdr:row>
      <xdr:rowOff>122237</xdr:rowOff>
    </xdr:from>
    <xdr:to>
      <xdr:col>18</xdr:col>
      <xdr:colOff>409575</xdr:colOff>
      <xdr:row>19</xdr:row>
      <xdr:rowOff>153987</xdr:rowOff>
    </xdr:to>
    <xdr:graphicFrame macro="">
      <xdr:nvGraphicFramePr>
        <xdr:cNvPr id="3" name="Chart 2">
          <a:extLst>
            <a:ext uri="{FF2B5EF4-FFF2-40B4-BE49-F238E27FC236}">
              <a16:creationId xmlns:a16="http://schemas.microsoft.com/office/drawing/2014/main" id="{BBB06B85-2CA9-D072-7446-AB75A2672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474206</xdr:colOff>
      <xdr:row>9</xdr:row>
      <xdr:rowOff>28141</xdr:rowOff>
    </xdr:from>
    <xdr:to>
      <xdr:col>8</xdr:col>
      <xdr:colOff>71437</xdr:colOff>
      <xdr:row>22</xdr:row>
      <xdr:rowOff>95249</xdr:rowOff>
    </xdr:to>
    <xdr:graphicFrame macro="">
      <xdr:nvGraphicFramePr>
        <xdr:cNvPr id="10" name="Chart 9">
          <a:extLst>
            <a:ext uri="{FF2B5EF4-FFF2-40B4-BE49-F238E27FC236}">
              <a16:creationId xmlns:a16="http://schemas.microsoft.com/office/drawing/2014/main" id="{D25CC881-FBEE-4299-915E-AC5B99300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9</xdr:row>
      <xdr:rowOff>59532</xdr:rowOff>
    </xdr:from>
    <xdr:to>
      <xdr:col>16</xdr:col>
      <xdr:colOff>345280</xdr:colOff>
      <xdr:row>22</xdr:row>
      <xdr:rowOff>83343</xdr:rowOff>
    </xdr:to>
    <xdr:graphicFrame macro="">
      <xdr:nvGraphicFramePr>
        <xdr:cNvPr id="11" name="Chart 10">
          <a:extLst>
            <a:ext uri="{FF2B5EF4-FFF2-40B4-BE49-F238E27FC236}">
              <a16:creationId xmlns:a16="http://schemas.microsoft.com/office/drawing/2014/main" id="{280E5E99-7D01-4812-8544-3A045A778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457270</xdr:colOff>
      <xdr:row>23</xdr:row>
      <xdr:rowOff>23812</xdr:rowOff>
    </xdr:from>
    <xdr:to>
      <xdr:col>8</xdr:col>
      <xdr:colOff>285750</xdr:colOff>
      <xdr:row>41</xdr:row>
      <xdr:rowOff>154781</xdr:rowOff>
    </xdr:to>
    <xdr:graphicFrame macro="">
      <xdr:nvGraphicFramePr>
        <xdr:cNvPr id="12" name="Chart 11">
          <a:extLst>
            <a:ext uri="{FF2B5EF4-FFF2-40B4-BE49-F238E27FC236}">
              <a16:creationId xmlns:a16="http://schemas.microsoft.com/office/drawing/2014/main" id="{5BD0A302-BAEF-44F1-8A0B-AE6E8241F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392185</xdr:colOff>
      <xdr:row>23</xdr:row>
      <xdr:rowOff>59531</xdr:rowOff>
    </xdr:from>
    <xdr:to>
      <xdr:col>16</xdr:col>
      <xdr:colOff>333375</xdr:colOff>
      <xdr:row>41</xdr:row>
      <xdr:rowOff>130969</xdr:rowOff>
    </xdr:to>
    <xdr:graphicFrame macro="">
      <xdr:nvGraphicFramePr>
        <xdr:cNvPr id="13" name="Chart 12">
          <a:extLst>
            <a:ext uri="{FF2B5EF4-FFF2-40B4-BE49-F238E27FC236}">
              <a16:creationId xmlns:a16="http://schemas.microsoft.com/office/drawing/2014/main" id="{6F26D792-942F-48F5-905F-D8DB14935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464344</xdr:colOff>
      <xdr:row>9</xdr:row>
      <xdr:rowOff>47191</xdr:rowOff>
    </xdr:from>
    <xdr:to>
      <xdr:col>28</xdr:col>
      <xdr:colOff>571500</xdr:colOff>
      <xdr:row>26</xdr:row>
      <xdr:rowOff>35717</xdr:rowOff>
    </xdr:to>
    <xdr:graphicFrame macro="">
      <xdr:nvGraphicFramePr>
        <xdr:cNvPr id="14" name="Chart 13">
          <a:extLst>
            <a:ext uri="{FF2B5EF4-FFF2-40B4-BE49-F238E27FC236}">
              <a16:creationId xmlns:a16="http://schemas.microsoft.com/office/drawing/2014/main" id="{2A60AE1D-A71D-4B41-B04D-FEC292562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464343</xdr:colOff>
      <xdr:row>26</xdr:row>
      <xdr:rowOff>190498</xdr:rowOff>
    </xdr:from>
    <xdr:to>
      <xdr:col>28</xdr:col>
      <xdr:colOff>583405</xdr:colOff>
      <xdr:row>41</xdr:row>
      <xdr:rowOff>160336</xdr:rowOff>
    </xdr:to>
    <xdr:graphicFrame macro="">
      <xdr:nvGraphicFramePr>
        <xdr:cNvPr id="15" name="Chart 14">
          <a:extLst>
            <a:ext uri="{FF2B5EF4-FFF2-40B4-BE49-F238E27FC236}">
              <a16:creationId xmlns:a16="http://schemas.microsoft.com/office/drawing/2014/main" id="{B276A514-ED66-4BF8-A165-55B8F2BF2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392834</xdr:colOff>
      <xdr:row>4</xdr:row>
      <xdr:rowOff>68695</xdr:rowOff>
    </xdr:from>
    <xdr:to>
      <xdr:col>10</xdr:col>
      <xdr:colOff>573087</xdr:colOff>
      <xdr:row>8</xdr:row>
      <xdr:rowOff>17462</xdr:rowOff>
    </xdr:to>
    <xdr:sp macro="" textlink="F16">
      <xdr:nvSpPr>
        <xdr:cNvPr id="16" name="TextBox 15">
          <a:extLst>
            <a:ext uri="{FF2B5EF4-FFF2-40B4-BE49-F238E27FC236}">
              <a16:creationId xmlns:a16="http://schemas.microsoft.com/office/drawing/2014/main" id="{676833F1-BAC4-9057-BF71-1972C73E44C2}"/>
            </a:ext>
          </a:extLst>
        </xdr:cNvPr>
        <xdr:cNvSpPr txBox="1"/>
      </xdr:nvSpPr>
      <xdr:spPr>
        <a:xfrm>
          <a:off x="5250584" y="2283258"/>
          <a:ext cx="1394691" cy="806017"/>
        </a:xfrm>
        <a:prstGeom prst="roundRect">
          <a:avLst/>
        </a:prstGeom>
        <a:solidFill>
          <a:schemeClr val="lt1"/>
        </a:solidFill>
        <a:ln w="9525" cmpd="sng">
          <a:noFill/>
        </a:ln>
        <a:effectLst>
          <a:outerShdw blurRad="254000" algn="ctr"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84A762-81D3-4686-A9CB-5814AF7A80FE}" type="TxLink">
            <a:rPr lang="en-US" sz="1800" b="1" i="0" u="none" strike="noStrike">
              <a:solidFill>
                <a:srgbClr val="000000"/>
              </a:solidFill>
              <a:latin typeface="Segoe UI"/>
              <a:cs typeface="Segoe UI"/>
            </a:rPr>
            <a:t>13</a:t>
          </a:fld>
          <a:endParaRPr lang="en-US" sz="1800" b="1" i="0" u="none" strike="noStrike">
            <a:solidFill>
              <a:srgbClr val="000000"/>
            </a:solidFill>
            <a:latin typeface="Segoe UI"/>
            <a:cs typeface="Segoe UI"/>
          </a:endParaRPr>
        </a:p>
        <a:p>
          <a:r>
            <a:rPr lang="en-US" sz="1400" b="0" i="0" u="none" strike="noStrike">
              <a:solidFill>
                <a:srgbClr val="000000"/>
              </a:solidFill>
              <a:latin typeface="Segoe UI"/>
              <a:cs typeface="Segoe UI"/>
            </a:rPr>
            <a:t>Total</a:t>
          </a:r>
          <a:r>
            <a:rPr lang="en-US" sz="1400" b="0" i="0" u="none" strike="noStrike" baseline="0">
              <a:solidFill>
                <a:srgbClr val="000000"/>
              </a:solidFill>
              <a:latin typeface="Segoe UI"/>
              <a:cs typeface="Segoe UI"/>
            </a:rPr>
            <a:t> Risks</a:t>
          </a:r>
          <a:endParaRPr lang="en-US" sz="2400" b="0"/>
        </a:p>
      </xdr:txBody>
    </xdr:sp>
    <xdr:clientData/>
  </xdr:twoCellAnchor>
  <xdr:twoCellAnchor>
    <xdr:from>
      <xdr:col>11</xdr:col>
      <xdr:colOff>381793</xdr:colOff>
      <xdr:row>4</xdr:row>
      <xdr:rowOff>80600</xdr:rowOff>
    </xdr:from>
    <xdr:to>
      <xdr:col>13</xdr:col>
      <xdr:colOff>543717</xdr:colOff>
      <xdr:row>8</xdr:row>
      <xdr:rowOff>42068</xdr:rowOff>
    </xdr:to>
    <xdr:sp macro="" textlink="G16">
      <xdr:nvSpPr>
        <xdr:cNvPr id="19" name="TextBox 18">
          <a:extLst>
            <a:ext uri="{FF2B5EF4-FFF2-40B4-BE49-F238E27FC236}">
              <a16:creationId xmlns:a16="http://schemas.microsoft.com/office/drawing/2014/main" id="{50D08298-66A1-437B-A2A9-86F45506BF15}"/>
            </a:ext>
          </a:extLst>
        </xdr:cNvPr>
        <xdr:cNvSpPr txBox="1"/>
      </xdr:nvSpPr>
      <xdr:spPr>
        <a:xfrm>
          <a:off x="7061199" y="2295163"/>
          <a:ext cx="1376362" cy="818718"/>
        </a:xfrm>
        <a:prstGeom prst="roundRect">
          <a:avLst/>
        </a:prstGeom>
        <a:solidFill>
          <a:schemeClr val="lt1"/>
        </a:solidFill>
        <a:ln w="9525" cmpd="sng">
          <a:noFill/>
        </a:ln>
        <a:effectLst>
          <a:outerShdw blurRad="254000" algn="ctr"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597358-AF4E-459A-A13B-9030C44F0BBC}" type="TxLink">
            <a:rPr lang="en-US" sz="1800" b="1" i="0" u="none" strike="noStrike">
              <a:solidFill>
                <a:srgbClr val="000000"/>
              </a:solidFill>
              <a:latin typeface="Segoe UI"/>
              <a:cs typeface="Segoe UI"/>
            </a:rPr>
            <a:t>6</a:t>
          </a:fld>
          <a:endParaRPr lang="en-US" sz="3200" b="1" i="0" u="none" strike="noStrike">
            <a:solidFill>
              <a:srgbClr val="000000"/>
            </a:solidFill>
            <a:latin typeface="Segoe UI"/>
            <a:cs typeface="Segoe UI"/>
          </a:endParaRPr>
        </a:p>
        <a:p>
          <a:r>
            <a:rPr lang="en-GB" sz="1400" b="0">
              <a:latin typeface="Segoe UI" panose="020B0502040204020203" pitchFamily="34" charset="0"/>
              <a:cs typeface="Segoe UI" panose="020B0502040204020203" pitchFamily="34" charset="0"/>
            </a:rPr>
            <a:t>High</a:t>
          </a:r>
          <a:r>
            <a:rPr lang="en-GB" sz="1400" b="0" baseline="0">
              <a:latin typeface="Segoe UI" panose="020B0502040204020203" pitchFamily="34" charset="0"/>
              <a:cs typeface="Segoe UI" panose="020B0502040204020203" pitchFamily="34" charset="0"/>
            </a:rPr>
            <a:t> Risks</a:t>
          </a:r>
          <a:endParaRPr lang="en-GB" sz="2400" b="0">
            <a:latin typeface="Segoe UI" panose="020B0502040204020203" pitchFamily="34" charset="0"/>
            <a:cs typeface="Segoe UI" panose="020B0502040204020203" pitchFamily="34" charset="0"/>
          </a:endParaRPr>
        </a:p>
      </xdr:txBody>
    </xdr:sp>
    <xdr:clientData/>
  </xdr:twoCellAnchor>
  <xdr:twoCellAnchor>
    <xdr:from>
      <xdr:col>14</xdr:col>
      <xdr:colOff>358268</xdr:colOff>
      <xdr:row>4</xdr:row>
      <xdr:rowOff>78222</xdr:rowOff>
    </xdr:from>
    <xdr:to>
      <xdr:col>16</xdr:col>
      <xdr:colOff>566738</xdr:colOff>
      <xdr:row>8</xdr:row>
      <xdr:rowOff>42864</xdr:rowOff>
    </xdr:to>
    <xdr:sp macro="" textlink="H16">
      <xdr:nvSpPr>
        <xdr:cNvPr id="20" name="TextBox 19">
          <a:extLst>
            <a:ext uri="{FF2B5EF4-FFF2-40B4-BE49-F238E27FC236}">
              <a16:creationId xmlns:a16="http://schemas.microsoft.com/office/drawing/2014/main" id="{4709F056-5BCC-493E-BACF-AF423E36B27A}"/>
            </a:ext>
          </a:extLst>
        </xdr:cNvPr>
        <xdr:cNvSpPr txBox="1"/>
      </xdr:nvSpPr>
      <xdr:spPr>
        <a:xfrm>
          <a:off x="8859331" y="2292785"/>
          <a:ext cx="1422907" cy="821892"/>
        </a:xfrm>
        <a:prstGeom prst="roundRect">
          <a:avLst/>
        </a:prstGeom>
        <a:solidFill>
          <a:schemeClr val="lt1"/>
        </a:solidFill>
        <a:ln w="9525" cmpd="sng">
          <a:noFill/>
        </a:ln>
        <a:effectLst>
          <a:outerShdw blurRad="254000" algn="ctr"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D126B6-4234-44DB-A6C4-FDB866CF547E}" type="TxLink">
            <a:rPr lang="en-US" sz="1800" b="1" i="0" u="none" strike="noStrike">
              <a:solidFill>
                <a:srgbClr val="000000"/>
              </a:solidFill>
              <a:latin typeface="Segoe UI"/>
              <a:cs typeface="Segoe UI"/>
            </a:rPr>
            <a:t>5</a:t>
          </a:fld>
          <a:endParaRPr lang="en-US" sz="3200" b="1" i="0" u="none" strike="noStrike">
            <a:solidFill>
              <a:srgbClr val="000000"/>
            </a:solidFill>
            <a:latin typeface="Segoe UI"/>
            <a:cs typeface="Segoe UI"/>
          </a:endParaRPr>
        </a:p>
        <a:p>
          <a:r>
            <a:rPr lang="en-GB" sz="1400" b="0">
              <a:latin typeface="Segoe UI" panose="020B0502040204020203" pitchFamily="34" charset="0"/>
              <a:cs typeface="Segoe UI" panose="020B0502040204020203" pitchFamily="34" charset="0"/>
            </a:rPr>
            <a:t>Medium Risks</a:t>
          </a:r>
          <a:endParaRPr lang="en-GB" sz="2000" b="0">
            <a:latin typeface="Segoe UI" panose="020B0502040204020203" pitchFamily="34" charset="0"/>
            <a:cs typeface="Segoe UI" panose="020B0502040204020203" pitchFamily="34" charset="0"/>
          </a:endParaRPr>
        </a:p>
      </xdr:txBody>
    </xdr:sp>
    <xdr:clientData/>
  </xdr:twoCellAnchor>
  <xdr:twoCellAnchor>
    <xdr:from>
      <xdr:col>17</xdr:col>
      <xdr:colOff>372271</xdr:colOff>
      <xdr:row>4</xdr:row>
      <xdr:rowOff>84140</xdr:rowOff>
    </xdr:from>
    <xdr:to>
      <xdr:col>19</xdr:col>
      <xdr:colOff>547688</xdr:colOff>
      <xdr:row>8</xdr:row>
      <xdr:rowOff>35718</xdr:rowOff>
    </xdr:to>
    <xdr:sp macro="" textlink="I16">
      <xdr:nvSpPr>
        <xdr:cNvPr id="21" name="TextBox 20">
          <a:extLst>
            <a:ext uri="{FF2B5EF4-FFF2-40B4-BE49-F238E27FC236}">
              <a16:creationId xmlns:a16="http://schemas.microsoft.com/office/drawing/2014/main" id="{0F6D8796-1783-4877-8AB8-E9E58D43F627}"/>
            </a:ext>
          </a:extLst>
        </xdr:cNvPr>
        <xdr:cNvSpPr txBox="1"/>
      </xdr:nvSpPr>
      <xdr:spPr>
        <a:xfrm>
          <a:off x="10694990" y="2298703"/>
          <a:ext cx="1389854" cy="808828"/>
        </a:xfrm>
        <a:prstGeom prst="roundRect">
          <a:avLst/>
        </a:prstGeom>
        <a:solidFill>
          <a:schemeClr val="lt1"/>
        </a:solidFill>
        <a:ln w="9525" cmpd="sng">
          <a:noFill/>
        </a:ln>
        <a:effectLst>
          <a:outerShdw blurRad="254000" algn="ctr"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6D8362-1EDF-4E71-9FFD-3859D41C28A4}" type="TxLink">
            <a:rPr lang="en-US" sz="1800" b="1" i="0" u="none" strike="noStrike">
              <a:solidFill>
                <a:srgbClr val="000000"/>
              </a:solidFill>
              <a:latin typeface="Segoe UI"/>
              <a:cs typeface="Segoe UI"/>
            </a:rPr>
            <a:t>2</a:t>
          </a:fld>
          <a:endParaRPr lang="en-US" sz="1800" b="1" i="0" u="none" strike="noStrike">
            <a:solidFill>
              <a:srgbClr val="000000"/>
            </a:solidFill>
            <a:latin typeface="Segoe UI"/>
            <a:cs typeface="Segoe UI"/>
          </a:endParaRPr>
        </a:p>
        <a:p>
          <a:r>
            <a:rPr lang="en-US" sz="1400" b="0" i="0" u="none" strike="noStrike" baseline="0">
              <a:solidFill>
                <a:srgbClr val="000000"/>
              </a:solidFill>
              <a:latin typeface="Segoe UI"/>
              <a:cs typeface="Segoe UI"/>
            </a:rPr>
            <a:t>Low Risks</a:t>
          </a:r>
          <a:endParaRPr lang="en-GB" sz="2000" b="0" baseline="0">
            <a:latin typeface="Segoe UI" panose="020B0502040204020203" pitchFamily="34" charset="0"/>
            <a:cs typeface="Segoe UI" panose="020B0502040204020203" pitchFamily="34" charset="0"/>
          </a:endParaRPr>
        </a:p>
      </xdr:txBody>
    </xdr:sp>
    <xdr:clientData/>
  </xdr:twoCellAnchor>
  <xdr:twoCellAnchor>
    <xdr:from>
      <xdr:col>22</xdr:col>
      <xdr:colOff>387349</xdr:colOff>
      <xdr:row>3</xdr:row>
      <xdr:rowOff>257971</xdr:rowOff>
    </xdr:from>
    <xdr:to>
      <xdr:col>27</xdr:col>
      <xdr:colOff>365918</xdr:colOff>
      <xdr:row>8</xdr:row>
      <xdr:rowOff>68262</xdr:rowOff>
    </xdr:to>
    <xdr:graphicFrame macro="">
      <xdr:nvGraphicFramePr>
        <xdr:cNvPr id="29" name="Chart 28">
          <a:extLst>
            <a:ext uri="{FF2B5EF4-FFF2-40B4-BE49-F238E27FC236}">
              <a16:creationId xmlns:a16="http://schemas.microsoft.com/office/drawing/2014/main" id="{1EC76DD9-E8AA-9805-3E8F-20CB3C300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50801</xdr:colOff>
      <xdr:row>4</xdr:row>
      <xdr:rowOff>166686</xdr:rowOff>
    </xdr:from>
    <xdr:to>
      <xdr:col>25</xdr:col>
      <xdr:colOff>45245</xdr:colOff>
      <xdr:row>6</xdr:row>
      <xdr:rowOff>199231</xdr:rowOff>
    </xdr:to>
    <xdr:sp macro="" textlink="L16">
      <xdr:nvSpPr>
        <xdr:cNvPr id="30" name="TextBox 29">
          <a:extLst>
            <a:ext uri="{FF2B5EF4-FFF2-40B4-BE49-F238E27FC236}">
              <a16:creationId xmlns:a16="http://schemas.microsoft.com/office/drawing/2014/main" id="{E57A28CD-6F31-732F-DE87-DD1664B12F9C}"/>
            </a:ext>
          </a:extLst>
        </xdr:cNvPr>
        <xdr:cNvSpPr txBox="1"/>
      </xdr:nvSpPr>
      <xdr:spPr>
        <a:xfrm>
          <a:off x="14624051" y="2381249"/>
          <a:ext cx="601663" cy="461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20EE-72DB-47F5-9C81-AD7DD243D0C7}" type="TxLink">
            <a:rPr lang="en-US" sz="1400" b="1" i="0" u="none" strike="noStrike">
              <a:solidFill>
                <a:sysClr val="windowText" lastClr="000000"/>
              </a:solidFill>
              <a:latin typeface="Segoe UI"/>
              <a:cs typeface="Segoe UI"/>
            </a:rPr>
            <a:t>23%</a:t>
          </a:fld>
          <a:endParaRPr lang="en-GB" sz="700" b="1">
            <a:solidFill>
              <a:sysClr val="windowText" lastClr="000000"/>
            </a:solidFill>
          </a:endParaRPr>
        </a:p>
      </xdr:txBody>
    </xdr:sp>
    <xdr:clientData/>
  </xdr:twoCellAnchor>
  <xdr:twoCellAnchor editAs="oneCell">
    <xdr:from>
      <xdr:col>54</xdr:col>
      <xdr:colOff>344486</xdr:colOff>
      <xdr:row>25</xdr:row>
      <xdr:rowOff>149225</xdr:rowOff>
    </xdr:from>
    <xdr:to>
      <xdr:col>60</xdr:col>
      <xdr:colOff>336549</xdr:colOff>
      <xdr:row>56</xdr:row>
      <xdr:rowOff>88899</xdr:rowOff>
    </xdr:to>
    <mc:AlternateContent xmlns:mc="http://schemas.openxmlformats.org/markup-compatibility/2006">
      <mc:Choice xmlns:a14="http://schemas.microsoft.com/office/drawing/2010/main" Requires="a14">
        <xdr:graphicFrame macro="">
          <xdr:nvGraphicFramePr>
            <xdr:cNvPr id="32" name="Risk Level 1">
              <a:extLst>
                <a:ext uri="{FF2B5EF4-FFF2-40B4-BE49-F238E27FC236}">
                  <a16:creationId xmlns:a16="http://schemas.microsoft.com/office/drawing/2014/main" id="{D9C8BC60-4409-42C9-9C9D-F4411FF2280B}"/>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dr:sp macro="" textlink="">
          <xdr:nvSpPr>
            <xdr:cNvPr id="0" name=""/>
            <xdr:cNvSpPr>
              <a:spLocks noTextEdit="1"/>
            </xdr:cNvSpPr>
          </xdr:nvSpPr>
          <xdr:spPr>
            <a:xfrm>
              <a:off x="33134299" y="6864350"/>
              <a:ext cx="3632200" cy="65801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277017</xdr:colOff>
      <xdr:row>4</xdr:row>
      <xdr:rowOff>204355</xdr:rowOff>
    </xdr:from>
    <xdr:to>
      <xdr:col>16</xdr:col>
      <xdr:colOff>418088</xdr:colOff>
      <xdr:row>5</xdr:row>
      <xdr:rowOff>119063</xdr:rowOff>
    </xdr:to>
    <xdr:sp macro="" textlink="">
      <xdr:nvSpPr>
        <xdr:cNvPr id="33" name="Oval 32">
          <a:extLst>
            <a:ext uri="{FF2B5EF4-FFF2-40B4-BE49-F238E27FC236}">
              <a16:creationId xmlns:a16="http://schemas.microsoft.com/office/drawing/2014/main" id="{FCEC3FAF-1396-438F-9448-0E5CBD5E69EB}"/>
            </a:ext>
          </a:extLst>
        </xdr:cNvPr>
        <xdr:cNvSpPr/>
      </xdr:nvSpPr>
      <xdr:spPr>
        <a:xfrm>
          <a:off x="9992517" y="2418918"/>
          <a:ext cx="141071" cy="12902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255587</xdr:colOff>
      <xdr:row>5</xdr:row>
      <xdr:rowOff>13061</xdr:rowOff>
    </xdr:from>
    <xdr:to>
      <xdr:col>19</xdr:col>
      <xdr:colOff>403008</xdr:colOff>
      <xdr:row>5</xdr:row>
      <xdr:rowOff>145256</xdr:rowOff>
    </xdr:to>
    <xdr:sp macro="" textlink="">
      <xdr:nvSpPr>
        <xdr:cNvPr id="34" name="Oval 33">
          <a:extLst>
            <a:ext uri="{FF2B5EF4-FFF2-40B4-BE49-F238E27FC236}">
              <a16:creationId xmlns:a16="http://schemas.microsoft.com/office/drawing/2014/main" id="{BE87C283-A51C-406C-B441-21C800AE96C3}"/>
            </a:ext>
          </a:extLst>
        </xdr:cNvPr>
        <xdr:cNvSpPr/>
      </xdr:nvSpPr>
      <xdr:spPr>
        <a:xfrm>
          <a:off x="11792743" y="2441936"/>
          <a:ext cx="147421" cy="132195"/>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32</xdr:col>
      <xdr:colOff>449264</xdr:colOff>
      <xdr:row>9</xdr:row>
      <xdr:rowOff>32544</xdr:rowOff>
    </xdr:from>
    <xdr:to>
      <xdr:col>35</xdr:col>
      <xdr:colOff>411163</xdr:colOff>
      <xdr:row>21</xdr:row>
      <xdr:rowOff>92075</xdr:rowOff>
    </xdr:to>
    <mc:AlternateContent xmlns:mc="http://schemas.openxmlformats.org/markup-compatibility/2006">
      <mc:Choice xmlns:a14="http://schemas.microsoft.com/office/drawing/2010/main" Requires="a14">
        <xdr:graphicFrame macro="">
          <xdr:nvGraphicFramePr>
            <xdr:cNvPr id="36" name="System 2">
              <a:extLst>
                <a:ext uri="{FF2B5EF4-FFF2-40B4-BE49-F238E27FC236}">
                  <a16:creationId xmlns:a16="http://schemas.microsoft.com/office/drawing/2014/main" id="{A6B789B4-6FC3-4AD5-994E-43A8537FAE0F}"/>
                </a:ext>
              </a:extLst>
            </xdr:cNvPr>
            <xdr:cNvGraphicFramePr/>
          </xdr:nvGraphicFramePr>
          <xdr:xfrm>
            <a:off x="0" y="0"/>
            <a:ext cx="0" cy="0"/>
          </xdr:xfrm>
          <a:graphic>
            <a:graphicData uri="http://schemas.microsoft.com/office/drawing/2010/slicer">
              <sle:slicer xmlns:sle="http://schemas.microsoft.com/office/drawing/2010/slicer" name="System 2"/>
            </a:graphicData>
          </a:graphic>
        </xdr:graphicFrame>
      </mc:Choice>
      <mc:Fallback>
        <xdr:sp macro="" textlink="">
          <xdr:nvSpPr>
            <xdr:cNvPr id="0" name=""/>
            <xdr:cNvSpPr>
              <a:spLocks noTextEdit="1"/>
            </xdr:cNvSpPr>
          </xdr:nvSpPr>
          <xdr:spPr>
            <a:xfrm>
              <a:off x="19877089" y="3315494"/>
              <a:ext cx="1783555" cy="26344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347663</xdr:colOff>
      <xdr:row>21</xdr:row>
      <xdr:rowOff>178595</xdr:rowOff>
    </xdr:from>
    <xdr:to>
      <xdr:col>32</xdr:col>
      <xdr:colOff>364332</xdr:colOff>
      <xdr:row>34</xdr:row>
      <xdr:rowOff>21429</xdr:rowOff>
    </xdr:to>
    <mc:AlternateContent xmlns:mc="http://schemas.openxmlformats.org/markup-compatibility/2006">
      <mc:Choice xmlns:a14="http://schemas.microsoft.com/office/drawing/2010/main" Requires="a14">
        <xdr:graphicFrame macro="">
          <xdr:nvGraphicFramePr>
            <xdr:cNvPr id="37" name="Status of Risk Remediation 1">
              <a:extLst>
                <a:ext uri="{FF2B5EF4-FFF2-40B4-BE49-F238E27FC236}">
                  <a16:creationId xmlns:a16="http://schemas.microsoft.com/office/drawing/2014/main" id="{2873873F-5E1B-43CE-9CA4-2079B2DC9446}"/>
                </a:ext>
              </a:extLst>
            </xdr:cNvPr>
            <xdr:cNvGraphicFramePr/>
          </xdr:nvGraphicFramePr>
          <xdr:xfrm>
            <a:off x="0" y="0"/>
            <a:ext cx="0" cy="0"/>
          </xdr:xfrm>
          <a:graphic>
            <a:graphicData uri="http://schemas.microsoft.com/office/drawing/2010/slicer">
              <sle:slicer xmlns:sle="http://schemas.microsoft.com/office/drawing/2010/slicer" name="Status of Risk Remediation 1"/>
            </a:graphicData>
          </a:graphic>
        </xdr:graphicFrame>
      </mc:Choice>
      <mc:Fallback>
        <xdr:sp macro="" textlink="">
          <xdr:nvSpPr>
            <xdr:cNvPr id="0" name=""/>
            <xdr:cNvSpPr>
              <a:spLocks noTextEdit="1"/>
            </xdr:cNvSpPr>
          </xdr:nvSpPr>
          <xdr:spPr>
            <a:xfrm>
              <a:off x="17960182" y="6039645"/>
              <a:ext cx="1835150" cy="26257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449264</xdr:colOff>
      <xdr:row>21</xdr:row>
      <xdr:rowOff>190502</xdr:rowOff>
    </xdr:from>
    <xdr:to>
      <xdr:col>35</xdr:col>
      <xdr:colOff>392907</xdr:colOff>
      <xdr:row>33</xdr:row>
      <xdr:rowOff>202407</xdr:rowOff>
    </xdr:to>
    <mc:AlternateContent xmlns:mc="http://schemas.openxmlformats.org/markup-compatibility/2006">
      <mc:Choice xmlns:a14="http://schemas.microsoft.com/office/drawing/2010/main" Requires="a14">
        <xdr:graphicFrame macro="">
          <xdr:nvGraphicFramePr>
            <xdr:cNvPr id="38" name="Relevant Framework 1">
              <a:extLst>
                <a:ext uri="{FF2B5EF4-FFF2-40B4-BE49-F238E27FC236}">
                  <a16:creationId xmlns:a16="http://schemas.microsoft.com/office/drawing/2014/main" id="{12301ABA-3130-489D-B0A1-886F2ACB8A47}"/>
                </a:ext>
              </a:extLst>
            </xdr:cNvPr>
            <xdr:cNvGraphicFramePr/>
          </xdr:nvGraphicFramePr>
          <xdr:xfrm>
            <a:off x="0" y="0"/>
            <a:ext cx="0" cy="0"/>
          </xdr:xfrm>
          <a:graphic>
            <a:graphicData uri="http://schemas.microsoft.com/office/drawing/2010/slicer">
              <sle:slicer xmlns:sle="http://schemas.microsoft.com/office/drawing/2010/slicer" name="Relevant Framework 1"/>
            </a:graphicData>
          </a:graphic>
        </xdr:graphicFrame>
      </mc:Choice>
      <mc:Fallback>
        <xdr:sp macro="" textlink="">
          <xdr:nvSpPr>
            <xdr:cNvPr id="0" name=""/>
            <xdr:cNvSpPr>
              <a:spLocks noTextEdit="1"/>
            </xdr:cNvSpPr>
          </xdr:nvSpPr>
          <xdr:spPr>
            <a:xfrm>
              <a:off x="19877089" y="6048377"/>
              <a:ext cx="1765299" cy="2580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345281</xdr:colOff>
      <xdr:row>9</xdr:row>
      <xdr:rowOff>35719</xdr:rowOff>
    </xdr:from>
    <xdr:to>
      <xdr:col>32</xdr:col>
      <xdr:colOff>352425</xdr:colOff>
      <xdr:row>21</xdr:row>
      <xdr:rowOff>86516</xdr:rowOff>
    </xdr:to>
    <mc:AlternateContent xmlns:mc="http://schemas.openxmlformats.org/markup-compatibility/2006">
      <mc:Choice xmlns:a14="http://schemas.microsoft.com/office/drawing/2010/main" Requires="a14">
        <xdr:graphicFrame macro="">
          <xdr:nvGraphicFramePr>
            <xdr:cNvPr id="39" name="Risk Level 2">
              <a:extLst>
                <a:ext uri="{FF2B5EF4-FFF2-40B4-BE49-F238E27FC236}">
                  <a16:creationId xmlns:a16="http://schemas.microsoft.com/office/drawing/2014/main" id="{7CD6C504-C8E9-41C7-BD77-A8523088E644}"/>
                </a:ext>
              </a:extLst>
            </xdr:cNvPr>
            <xdr:cNvGraphicFramePr/>
          </xdr:nvGraphicFramePr>
          <xdr:xfrm>
            <a:off x="0" y="0"/>
            <a:ext cx="0" cy="0"/>
          </xdr:xfrm>
          <a:graphic>
            <a:graphicData uri="http://schemas.microsoft.com/office/drawing/2010/slicer">
              <sle:slicer xmlns:sle="http://schemas.microsoft.com/office/drawing/2010/slicer" name="Risk Level 2"/>
            </a:graphicData>
          </a:graphic>
        </xdr:graphicFrame>
      </mc:Choice>
      <mc:Fallback>
        <xdr:sp macro="" textlink="">
          <xdr:nvSpPr>
            <xdr:cNvPr id="0" name=""/>
            <xdr:cNvSpPr>
              <a:spLocks noTextEdit="1"/>
            </xdr:cNvSpPr>
          </xdr:nvSpPr>
          <xdr:spPr>
            <a:xfrm>
              <a:off x="17954625" y="3321844"/>
              <a:ext cx="1825625"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261935</xdr:colOff>
      <xdr:row>5</xdr:row>
      <xdr:rowOff>10680</xdr:rowOff>
    </xdr:from>
    <xdr:to>
      <xdr:col>13</xdr:col>
      <xdr:colOff>409356</xdr:colOff>
      <xdr:row>5</xdr:row>
      <xdr:rowOff>146050</xdr:rowOff>
    </xdr:to>
    <xdr:sp macro="" textlink="">
      <xdr:nvSpPr>
        <xdr:cNvPr id="40" name="Oval 39">
          <a:extLst>
            <a:ext uri="{FF2B5EF4-FFF2-40B4-BE49-F238E27FC236}">
              <a16:creationId xmlns:a16="http://schemas.microsoft.com/office/drawing/2014/main" id="{B5FD23C2-6405-474D-AE7F-97C41891D876}"/>
            </a:ext>
          </a:extLst>
        </xdr:cNvPr>
        <xdr:cNvSpPr/>
      </xdr:nvSpPr>
      <xdr:spPr>
        <a:xfrm>
          <a:off x="8155779" y="2439555"/>
          <a:ext cx="147421" cy="135370"/>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89.738595254632" backgroundQuery="1" createdVersion="8" refreshedVersion="8" minRefreshableVersion="3" recordCount="0" supportSubquery="1" supportAdvancedDrill="1" xr:uid="{33E4B9A5-EF50-461F-8F0E-511DC1EE2719}">
  <cacheSource type="external" connectionId="2"/>
  <cacheFields count="2">
    <cacheField name="[Original].[Status of Risk Remediation].[Status of Risk Remediation]" caption="Status of Risk Remediation" numFmtId="0" hierarchy="11" level="1">
      <sharedItems count="5">
        <s v="Closed"/>
        <s v="Escalated"/>
        <s v="In Progress"/>
        <s v="Monitoring"/>
        <s v="Pending"/>
      </sharedItems>
    </cacheField>
    <cacheField name="[Measures].[Distinct Count of Risk ID 2]" caption="Distinct Count of Risk ID 2" numFmtId="0" hierarchy="30" level="32767"/>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2" memberValueDatatype="130" unbalanced="0">
      <fieldsUsage count="2">
        <fieldUsage x="-1"/>
        <fieldUsage x="0"/>
      </fieldsUsage>
    </cacheHierarchy>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0" memberValueDatatype="130" unbalanced="0"/>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0" memberValueDatatype="130" unbalanced="0"/>
    <cacheHierarchy uniqueName="[Risk].[Relevant Framework]" caption="Relevant Framework" attribute="1" defaultMemberUniqueName="[Risk].[Relevant Framework].[All]" allUniqueName="[Risk].[Relevant Framework].[All]" dimensionUniqueName="[Risk]" displayFolder="" count="0" memberValueDatatype="130" unbalanced="0"/>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0"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hidden="1">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istrator" refreshedDate="46189.783345370372" backgroundQuery="1" createdVersion="8" refreshedVersion="8" minRefreshableVersion="3" recordCount="0" supportSubquery="1" supportAdvancedDrill="1" xr:uid="{A9C69AB1-5A0B-4E50-84B4-ABE5803316BD}">
  <cacheSource type="external" connectionId="2"/>
  <cacheFields count="3">
    <cacheField name="[Risk].[Risk Level].[Risk Level]" caption="Risk Level" numFmtId="0" hierarchy="18" level="1">
      <sharedItems count="3">
        <s v="High"/>
        <s v="Low"/>
        <s v="Medium"/>
      </sharedItems>
    </cacheField>
    <cacheField name="[Measures].[Distinct Count of Risk ID]" caption="Distinct Count of Risk ID" numFmtId="0" hierarchy="28" level="32767"/>
    <cacheField name="[Risk].[System].[System]" caption="System" numFmtId="0" hierarchy="14" level="1">
      <sharedItems containsSemiMixedTypes="0" containsNonDate="0" containsString="0"/>
    </cacheField>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0" memberValueDatatype="130" unbalanced="0"/>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fieldsUsage count="2">
        <fieldUsage x="-1"/>
        <fieldUsage x="2"/>
      </fieldsUsage>
    </cacheHierarchy>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fieldsUsage count="2">
        <fieldUsage x="-1"/>
        <fieldUsage x="0"/>
      </fieldsUsage>
    </cacheHierarchy>
    <cacheHierarchy uniqueName="[Risk].[Relevant Framework]" caption="Relevant Framework" attribute="1" defaultMemberUniqueName="[Risk].[Relevant Framework].[All]" allUniqueName="[Risk].[Relevant Framework].[All]" dimensionUniqueName="[Risk]" displayFolder="" count="2" memberValueDatatype="130" unbalanced="0"/>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istrator" refreshedDate="46189.783346064818" backgroundQuery="1" createdVersion="8" refreshedVersion="8" minRefreshableVersion="3" recordCount="0" supportSubquery="1" supportAdvancedDrill="1" xr:uid="{7130498B-EEA9-46F2-A380-DF52C0458F7B}">
  <cacheSource type="external" connectionId="2"/>
  <cacheFields count="3">
    <cacheField name="[Risk].[Relevant Framework].[Relevant Framework]" caption="Relevant Framework" numFmtId="0" hierarchy="19" level="1">
      <sharedItems count="4">
        <s v="GDPR"/>
        <s v="ISO 27001"/>
        <s v="NIST AI Risk Management Framework"/>
        <s v="NIST Cybersecurity Framework"/>
      </sharedItems>
    </cacheField>
    <cacheField name="[Measures].[Distinct Count of Risk ID]" caption="Distinct Count of Risk ID" numFmtId="0" hierarchy="28" level="32767"/>
    <cacheField name="[Risk].[System].[System]" caption="System" numFmtId="0" hierarchy="14" level="1">
      <sharedItems containsSemiMixedTypes="0" containsNonDate="0" containsString="0"/>
    </cacheField>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0" memberValueDatatype="130" unbalanced="0"/>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fieldsUsage count="2">
        <fieldUsage x="-1"/>
        <fieldUsage x="2"/>
      </fieldsUsage>
    </cacheHierarchy>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cacheHierarchy uniqueName="[Risk].[Relevant Framework]" caption="Relevant Framework" attribute="1" defaultMemberUniqueName="[Risk].[Relevant Framework].[All]" allUniqueName="[Risk].[Relevant Framework].[All]" dimensionUniqueName="[Risk]" displayFolder="" count="2" memberValueDatatype="130" unbalanced="0">
      <fieldsUsage count="2">
        <fieldUsage x="-1"/>
        <fieldUsage x="0"/>
      </fieldsUsage>
    </cacheHierarchy>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istrator" refreshedDate="46189.783346643519" backgroundQuery="1" createdVersion="8" refreshedVersion="8" minRefreshableVersion="3" recordCount="0" supportSubquery="1" supportAdvancedDrill="1" xr:uid="{A0190D29-B08C-4D0A-9DD1-416474027C64}">
  <cacheSource type="external" connectionId="2"/>
  <cacheFields count="3">
    <cacheField name="[Risk].[Business Impact].[Business Impact]" caption="Business Impact" numFmtId="0" hierarchy="20" level="1">
      <sharedItems count="10">
        <s v="Data Leakage"/>
        <s v="Decision Risk"/>
        <s v="Delayed/Insufficient Incident Response"/>
        <s v="Financial Loss"/>
        <s v="Larger Breach Impact"/>
        <s v="Lateral Movement"/>
        <s v="Legal Risk"/>
        <s v="Potential System Compromise"/>
        <s v="Reputation Damage"/>
        <s v="Service Disruption"/>
      </sharedItems>
    </cacheField>
    <cacheField name="[Measures].[Distinct Count of Risk ID]" caption="Distinct Count of Risk ID" numFmtId="0" hierarchy="28" level="32767"/>
    <cacheField name="[Risk].[System].[System]" caption="System" numFmtId="0" hierarchy="14" level="1">
      <sharedItems containsSemiMixedTypes="0" containsNonDate="0" containsString="0"/>
    </cacheField>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0" memberValueDatatype="130" unbalanced="0"/>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fieldsUsage count="2">
        <fieldUsage x="-1"/>
        <fieldUsage x="2"/>
      </fieldsUsage>
    </cacheHierarchy>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cacheHierarchy uniqueName="[Risk].[Relevant Framework]" caption="Relevant Framework" attribute="1" defaultMemberUniqueName="[Risk].[Relevant Framework].[All]" allUniqueName="[Risk].[Relevant Framework].[All]" dimensionUniqueName="[Risk]" displayFolder="" count="2" memberValueDatatype="130" unbalanced="0"/>
    <cacheHierarchy uniqueName="[Risk].[Business Impact]" caption="Business Impact" attribute="1" defaultMemberUniqueName="[Risk].[Business Impact].[All]" allUniqueName="[Risk].[Business Impact].[All]" dimensionUniqueName="[Risk]" displayFolder="" count="2" memberValueDatatype="130" unbalanced="0">
      <fieldsUsage count="2">
        <fieldUsage x="-1"/>
        <fieldUsage x="0"/>
      </fieldsUsage>
    </cacheHierarchy>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istrator" refreshedDate="46189.783347222219" backgroundQuery="1" createdVersion="8" refreshedVersion="8" minRefreshableVersion="3" recordCount="0" supportSubquery="1" supportAdvancedDrill="1" xr:uid="{711DE505-3101-4223-AFAC-6EA7683896E3}">
  <cacheSource type="external" connectionId="2"/>
  <cacheFields count="3">
    <cacheField name="[Original].[Status of Risk Remediation].[Status of Risk Remediation]" caption="Status of Risk Remediation" numFmtId="0" hierarchy="11" level="1">
      <sharedItems count="5">
        <s v="Closed"/>
        <s v="Escalated"/>
        <s v="In Progress"/>
        <s v="Monitoring"/>
        <s v="Pending"/>
      </sharedItems>
    </cacheField>
    <cacheField name="[Measures].[Distinct Count of Risk ID 2]" caption="Distinct Count of Risk ID 2" numFmtId="0" hierarchy="30" level="32767"/>
    <cacheField name="[Risk].[System].[System]" caption="System" numFmtId="0" hierarchy="14" level="1">
      <sharedItems containsSemiMixedTypes="0" containsNonDate="0" containsString="0"/>
    </cacheField>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2" memberValueDatatype="130" unbalanced="0">
      <fieldsUsage count="2">
        <fieldUsage x="-1"/>
        <fieldUsage x="0"/>
      </fieldsUsage>
    </cacheHierarchy>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fieldsUsage count="2">
        <fieldUsage x="-1"/>
        <fieldUsage x="2"/>
      </fieldsUsage>
    </cacheHierarchy>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cacheHierarchy uniqueName="[Risk].[Relevant Framework]" caption="Relevant Framework" attribute="1" defaultMemberUniqueName="[Risk].[Relevant Framework].[All]" allUniqueName="[Risk].[Relevant Framework].[All]" dimensionUniqueName="[Risk]" displayFolder="" count="2" memberValueDatatype="130" unbalanced="0"/>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hidden="1">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istrator" refreshedDate="46189.783347685188" backgroundQuery="1" createdVersion="8" refreshedVersion="8" minRefreshableVersion="3" recordCount="0" supportSubquery="1" supportAdvancedDrill="1" xr:uid="{E1404C3B-00FD-42DD-B909-C611DD780EEE}">
  <cacheSource type="external" connectionId="2"/>
  <cacheFields count="2">
    <cacheField name="[Risk].[System].[System]" caption="System" numFmtId="0" hierarchy="14" level="1">
      <sharedItems count="6">
        <s v="Active Directory"/>
        <s v="AI"/>
        <s v="AWS"/>
        <s v="Core Banking"/>
        <s v="Fraud Detection"/>
        <s v="Organisation"/>
      </sharedItems>
    </cacheField>
    <cacheField name="[Measures].[Distinct Count of Risk ID]" caption="Distinct Count of Risk ID" numFmtId="0" hierarchy="28" level="32767"/>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0" memberValueDatatype="130" unbalanced="0"/>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fieldsUsage count="2">
        <fieldUsage x="-1"/>
        <fieldUsage x="0"/>
      </fieldsUsage>
    </cacheHierarchy>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cacheHierarchy uniqueName="[Risk].[Relevant Framework]" caption="Relevant Framework" attribute="1" defaultMemberUniqueName="[Risk].[Relevant Framework].[All]" allUniqueName="[Risk].[Relevant Framework].[All]" dimensionUniqueName="[Risk]" displayFolder="" count="2" memberValueDatatype="130" unbalanced="0"/>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istrator" refreshedDate="46189.783348263889" backgroundQuery="1" createdVersion="8" refreshedVersion="8" minRefreshableVersion="3" recordCount="0" supportSubquery="1" supportAdvancedDrill="1" xr:uid="{7FEBBB10-00E1-4528-BB2E-3159C1861CEC}">
  <cacheSource type="external" connectionId="2"/>
  <cacheFields count="3">
    <cacheField name="[Risk].[Responsible Party].[Responsible Party]" caption="Responsible Party" numFmtId="0" hierarchy="22" level="1">
      <sharedItems count="7">
        <s v="AI Team"/>
        <s v="Data Team"/>
        <s v="Employees"/>
        <s v="Fraud Team"/>
        <s v="HR Team"/>
        <s v="Infrastructure Team"/>
        <s v="Security Engineers"/>
      </sharedItems>
    </cacheField>
    <cacheField name="[Measures].[Distinct Count of Risk ID]" caption="Distinct Count of Risk ID" numFmtId="0" hierarchy="28" level="32767"/>
    <cacheField name="[Risk].[System].[System]" caption="System" numFmtId="0" hierarchy="14" level="1">
      <sharedItems containsSemiMixedTypes="0" containsNonDate="0" containsString="0"/>
    </cacheField>
  </cacheFields>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0" memberValueDatatype="130" unbalanced="0"/>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fieldsUsage count="2">
        <fieldUsage x="-1"/>
        <fieldUsage x="2"/>
      </fieldsUsage>
    </cacheHierarchy>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cacheHierarchy uniqueName="[Risk].[Relevant Framework]" caption="Relevant Framework" attribute="1" defaultMemberUniqueName="[Risk].[Relevant Framework].[All]" allUniqueName="[Risk].[Relevant Framework].[All]" dimensionUniqueName="[Risk]" displayFolder="" count="2" memberValueDatatype="130" unbalanced="0"/>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2" memberValueDatatype="130" unbalanced="0">
      <fieldsUsage count="2">
        <fieldUsage x="-1"/>
        <fieldUsage x="0"/>
      </fieldsUsage>
    </cacheHierarchy>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Original" uniqueName="[Original]" caption="Original"/>
    <dimension name="Risk" uniqueName="[Risk]" caption="Risk"/>
  </dimensions>
  <measureGroups count="2">
    <measureGroup name="Original" caption="Original"/>
    <measureGroup name="Risk" caption="Risk"/>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89.738564467596" backgroundQuery="1" createdVersion="3" refreshedVersion="8" minRefreshableVersion="3" recordCount="0" supportSubquery="1" supportAdvancedDrill="1" xr:uid="{EAE9DB69-FAC7-46CD-8D33-6D065EC9AC51}">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Original].[Risk ID]" caption="Risk ID" attribute="1" defaultMemberUniqueName="[Original].[Risk ID].[All]" allUniqueName="[Original].[Risk ID].[All]" dimensionUniqueName="[Original]" displayFolder="" count="0" memberValueDatatype="130" unbalanced="0"/>
    <cacheHierarchy uniqueName="[Original].[Risk]" caption="Risk" attribute="1" defaultMemberUniqueName="[Original].[Risk].[All]" allUniqueName="[Original].[Risk].[All]" dimensionUniqueName="[Original]" displayFolder="" count="0" memberValueDatatype="130" unbalanced="0"/>
    <cacheHierarchy uniqueName="[Original].[System]" caption="System" attribute="1" defaultMemberUniqueName="[Original].[System].[All]" allUniqueName="[Original].[System].[All]" dimensionUniqueName="[Original]" displayFolder="" count="0" memberValueDatatype="130" unbalanced="0"/>
    <cacheHierarchy uniqueName="[Original].[Risk Description]" caption="Risk Description" attribute="1" defaultMemberUniqueName="[Original].[Risk Description].[All]" allUniqueName="[Original].[Risk Description].[All]" dimensionUniqueName="[Original]" displayFolder="" count="0" memberValueDatatype="130" unbalanced="0"/>
    <cacheHierarchy uniqueName="[Original].[Risk Scenario]" caption="Risk Scenario" attribute="1" defaultMemberUniqueName="[Original].[Risk Scenario].[All]" allUniqueName="[Original].[Risk Scenario].[All]" dimensionUniqueName="[Original]" displayFolder="" count="0" memberValueDatatype="130" unbalanced="0"/>
    <cacheHierarchy uniqueName="[Original].[Impact (1-5)]" caption="Impact (1-5)" attribute="1" defaultMemberUniqueName="[Original].[Impact (1-5)].[All]" allUniqueName="[Original].[Impact (1-5)].[All]" dimensionUniqueName="[Original]" displayFolder="" count="0" memberValueDatatype="20" unbalanced="0"/>
    <cacheHierarchy uniqueName="[Original].[Risk Level]" caption="Risk Level" attribute="1" defaultMemberUniqueName="[Original].[Risk Level].[All]" allUniqueName="[Original].[Risk Level].[All]" dimensionUniqueName="[Original]" displayFolder="" count="0" memberValueDatatype="130" unbalanced="0"/>
    <cacheHierarchy uniqueName="[Original].[Relevant Framework]" caption="Relevant Framework" attribute="1" defaultMemberUniqueName="[Original].[Relevant Framework].[All]" allUniqueName="[Original].[Relevant Framework].[All]" dimensionUniqueName="[Original]" displayFolder="" count="0" memberValueDatatype="130" unbalanced="0"/>
    <cacheHierarchy uniqueName="[Original].[Business Impact]" caption="Business Impact" attribute="1" defaultMemberUniqueName="[Original].[Business Impact].[All]" allUniqueName="[Original].[Business Impact].[All]" dimensionUniqueName="[Original]" displayFolder="" count="0" memberValueDatatype="130" unbalanced="0"/>
    <cacheHierarchy uniqueName="[Original].[Recommendation]" caption="Recommendation" attribute="1" defaultMemberUniqueName="[Original].[Recommendation].[All]" allUniqueName="[Original].[Recommendation].[All]" dimensionUniqueName="[Original]" displayFolder="" count="0" memberValueDatatype="130" unbalanced="0"/>
    <cacheHierarchy uniqueName="[Original].[Responsible Party]" caption="Responsible Party" attribute="1" defaultMemberUniqueName="[Original].[Responsible Party].[All]" allUniqueName="[Original].[Responsible Party].[All]" dimensionUniqueName="[Original]" displayFolder="" count="0" memberValueDatatype="130" unbalanced="0"/>
    <cacheHierarchy uniqueName="[Original].[Status of Risk Remediation]" caption="Status of Risk Remediation" attribute="1" defaultMemberUniqueName="[Original].[Status of Risk Remediation].[All]" allUniqueName="[Original].[Status of Risk Remediation].[All]" dimensionUniqueName="[Original]" displayFolder="" count="0" memberValueDatatype="130" unbalanced="0"/>
    <cacheHierarchy uniqueName="[Risk].[Risk ID]" caption="Risk ID" attribute="1" defaultMemberUniqueName="[Risk].[Risk ID].[All]" allUniqueName="[Risk].[Risk ID].[All]" dimensionUniqueName="[Risk]" displayFolder="" count="0" memberValueDatatype="130" unbalanced="0"/>
    <cacheHierarchy uniqueName="[Risk].[Risk]" caption="Risk" attribute="1" defaultMemberUniqueName="[Risk].[Risk].[All]" allUniqueName="[Risk].[Risk].[All]" dimensionUniqueName="[Risk]" displayFolder="" count="0" memberValueDatatype="130" unbalanced="0"/>
    <cacheHierarchy uniqueName="[Risk].[System]" caption="System" attribute="1" defaultMemberUniqueName="[Risk].[System].[All]" allUniqueName="[Risk].[System].[All]" dimensionUniqueName="[Risk]" displayFolder="" count="2" memberValueDatatype="130" unbalanced="0"/>
    <cacheHierarchy uniqueName="[Risk].[Risk Description]" caption="Risk Description" attribute="1" defaultMemberUniqueName="[Risk].[Risk Description].[All]" allUniqueName="[Risk].[Risk Description].[All]" dimensionUniqueName="[Risk]" displayFolder="" count="0" memberValueDatatype="130" unbalanced="0"/>
    <cacheHierarchy uniqueName="[Risk].[Risk Scenario]" caption="Risk Scenario" attribute="1" defaultMemberUniqueName="[Risk].[Risk Scenario].[All]" allUniqueName="[Risk].[Risk Scenario].[All]" dimensionUniqueName="[Risk]" displayFolder="" count="0" memberValueDatatype="130" unbalanced="0"/>
    <cacheHierarchy uniqueName="[Risk].[Impact (1-5)]" caption="Impact (1-5)" attribute="1" defaultMemberUniqueName="[Risk].[Impact (1-5)].[All]" allUniqueName="[Risk].[Impact (1-5)].[All]" dimensionUniqueName="[Risk]" displayFolder="" count="0" memberValueDatatype="20" unbalanced="0"/>
    <cacheHierarchy uniqueName="[Risk].[Risk Level]" caption="Risk Level" attribute="1" defaultMemberUniqueName="[Risk].[Risk Level].[All]" allUniqueName="[Risk].[Risk Level].[All]" dimensionUniqueName="[Risk]" displayFolder="" count="2" memberValueDatatype="130" unbalanced="0"/>
    <cacheHierarchy uniqueName="[Risk].[Relevant Framework]" caption="Relevant Framework" attribute="1" defaultMemberUniqueName="[Risk].[Relevant Framework].[All]" allUniqueName="[Risk].[Relevant Framework].[All]" dimensionUniqueName="[Risk]" displayFolder="" count="2" memberValueDatatype="130" unbalanced="0"/>
    <cacheHierarchy uniqueName="[Risk].[Business Impact]" caption="Business Impact" attribute="1" defaultMemberUniqueName="[Risk].[Business Impact].[All]" allUniqueName="[Risk].[Business Impact].[All]" dimensionUniqueName="[Risk]" displayFolder="" count="0" memberValueDatatype="130" unbalanced="0"/>
    <cacheHierarchy uniqueName="[Risk].[Recommendation]" caption="Recommendation" attribute="1" defaultMemberUniqueName="[Risk].[Recommendation].[All]" allUniqueName="[Risk].[Recommendation].[All]" dimensionUniqueName="[Risk]" displayFolder="" count="0" memberValueDatatype="130" unbalanced="0"/>
    <cacheHierarchy uniqueName="[Risk].[Responsible Party]" caption="Responsible Party" attribute="1" defaultMemberUniqueName="[Risk].[Responsible Party].[All]" allUniqueName="[Risk].[Responsible Party].[All]" dimensionUniqueName="[Risk]" displayFolder="" count="0" memberValueDatatype="130" unbalanced="0"/>
    <cacheHierarchy uniqueName="[Risk].[Status of Risk Remediation]" caption="Status of Risk Remediation" attribute="1" defaultMemberUniqueName="[Risk].[Status of Risk Remediation].[All]" allUniqueName="[Risk].[Status of Risk Remediation].[All]" dimensionUniqueName="[Risk]" displayFolder="" count="2" memberValueDatatype="130" unbalanced="0"/>
    <cacheHierarchy uniqueName="[Measures].[__XL_Count Risk]" caption="__XL_Count Risk" measure="1" displayFolder="" measureGroup="Risk" count="0" hidden="1"/>
    <cacheHierarchy uniqueName="[Measures].[__XL_Count Original]" caption="__XL_Count Original" measure="1" displayFolder="" measureGroup="Original" count="0" hidden="1"/>
    <cacheHierarchy uniqueName="[Measures].[__No measures defined]" caption="__No measures defined" measure="1" displayFolder="" count="0" hidden="1"/>
    <cacheHierarchy uniqueName="[Measures].[Count of Risk ID]" caption="Count of Risk ID" measure="1" displayFolder="" measureGroup="Risk" count="0" hidden="1">
      <extLst>
        <ext xmlns:x15="http://schemas.microsoft.com/office/spreadsheetml/2010/11/main" uri="{B97F6D7D-B522-45F9-BDA1-12C45D357490}">
          <x15:cacheHierarchy aggregatedColumn="12"/>
        </ext>
      </extLst>
    </cacheHierarchy>
    <cacheHierarchy uniqueName="[Measures].[Distinct Count of Risk ID]" caption="Distinct Count of Risk ID" measure="1" displayFolder="" measureGroup="Risk" count="0" hidden="1">
      <extLst>
        <ext xmlns:x15="http://schemas.microsoft.com/office/spreadsheetml/2010/11/main" uri="{B97F6D7D-B522-45F9-BDA1-12C45D357490}">
          <x15:cacheHierarchy aggregatedColumn="12"/>
        </ext>
      </extLst>
    </cacheHierarchy>
    <cacheHierarchy uniqueName="[Measures].[Count of Risk ID 2]" caption="Count of Risk ID 2" measure="1" displayFolder="" measureGroup="Original" count="0" hidden="1">
      <extLst>
        <ext xmlns:x15="http://schemas.microsoft.com/office/spreadsheetml/2010/11/main" uri="{B97F6D7D-B522-45F9-BDA1-12C45D357490}">
          <x15:cacheHierarchy aggregatedColumn="0"/>
        </ext>
      </extLst>
    </cacheHierarchy>
    <cacheHierarchy uniqueName="[Measures].[Distinct Count of Risk ID 2]" caption="Distinct Count of Risk ID 2" measure="1" displayFolder="" measureGroup="Original"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69541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382086-19B6-454F-A6C8-A56838DCEB8A}" name="PivotTable33" cacheId="11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B5" firstHeaderRow="1" firstDataRow="1" firstDataCol="1"/>
  <pivotFields count="3">
    <pivotField axis="axisRow" allDrilled="1" subtotalTop="0" showAll="0" defaultSubtotal="0" defaultAttributeDrillState="1">
      <items count="3">
        <item x="0"/>
        <item x="2"/>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5">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14"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Distinct Count of Risk ID"/>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sk Audit Spreadsheet.xlsx!Risk">
        <x15:activeTabTopLevelEntity name="[Ri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CBF05-DF7A-4C96-892C-B80203DAC329}" name="PivotTable36" cacheId="11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2">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Distinct Count of Risk ID"/>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sk Audit Spreadsheet.xlsx!Risk">
        <x15:activeTabTopLevelEntity name="[Ri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0F770D-5C23-493E-9F7B-9E110544CC2F}" name="PivotTable35" cacheId="11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B8"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5"/>
    </i>
    <i>
      <x v="4"/>
    </i>
    <i>
      <x v="2"/>
    </i>
    <i>
      <x/>
    </i>
    <i>
      <x v="1"/>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Distinct Count of Risk ID"/>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sk Audit Spreadsheet.xlsx!Risk">
        <x15:activeTabTopLevelEntity name="[Ri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32542C-ED40-4184-B642-DD8EC1B3BAD4}" name="PivotTable37" cacheId="1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12" firstHeaderRow="1" firstDataRow="1" firstDataCol="1"/>
  <pivotFields count="3">
    <pivotField axis="axisRow" allDrilled="1" subtotalTop="0" showAll="0" sortType="ascending" defaultSubtotal="0" defaultAttributeDrillState="1">
      <items count="10">
        <item x="0"/>
        <item x="1"/>
        <item n="Insufficient Incident Response"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v="9"/>
    </i>
    <i>
      <x v="1"/>
    </i>
    <i>
      <x v="5"/>
    </i>
    <i>
      <x/>
    </i>
    <i>
      <x v="7"/>
    </i>
    <i>
      <x v="3"/>
    </i>
    <i>
      <x v="6"/>
    </i>
    <i>
      <x v="8"/>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Distinct Count of Risk ID"/>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sk Audit Spreadsheet.xlsx!Risk">
        <x15:activeTabTopLevelEntity name="[Ri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966FD4-95AB-441B-8735-93B579B32020}" name="PivotTable38" cacheId="1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B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4"/>
    </i>
    <i>
      <x v="3"/>
    </i>
    <i>
      <x v="2"/>
    </i>
    <i>
      <x/>
    </i>
    <i>
      <x v="6"/>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Distinct Count of Risk ID"/>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sk Audit Spreadsheet.xlsx!Risk">
        <x15:activeTabTopLevelEntity name="[Ri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E42031-C78A-48F5-9C9D-A82E0B13AAF5}" name="PivotTable40" cacheId="10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1">
    <chartFormat chart="2"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Risk ID"/>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sk Audit Spreadsheet.xlsx!Original">
        <x15:activeTabTopLevelEntity name="[Orig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23736B-3DA7-417A-B0ED-63B6662FF4CE}" name="PivotTable39" cacheId="114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1">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Risk ID" fld="1" subtotal="count" baseField="0" baseItem="0">
      <extLst>
        <ext xmlns:x15="http://schemas.microsoft.com/office/spreadsheetml/2010/11/main" uri="{FABC7310-3BB5-11E1-824E-6D434824019B}">
          <x15:dataField isCountDistinct="1"/>
        </ext>
      </extLst>
    </dataField>
  </dataFields>
  <chartFormats count="6">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0" count="1" selected="0">
            <x v="0"/>
          </reference>
        </references>
      </pivotArea>
    </chartFormat>
    <chartFormat chart="8" format="21">
      <pivotArea type="data" outline="0" fieldPosition="0">
        <references count="2">
          <reference field="4294967294" count="1" selected="0">
            <x v="0"/>
          </reference>
          <reference field="0" count="1" selected="0">
            <x v="2"/>
          </reference>
        </references>
      </pivotArea>
    </chartFormat>
    <chartFormat chart="8" format="22">
      <pivotArea type="data" outline="0" fieldPosition="0">
        <references count="2">
          <reference field="4294967294" count="1" selected="0">
            <x v="0"/>
          </reference>
          <reference field="0" count="1" selected="0">
            <x v="3"/>
          </reference>
        </references>
      </pivotArea>
    </chartFormat>
    <chartFormat chart="8" format="23">
      <pivotArea type="data" outline="0" fieldPosition="0">
        <references count="2">
          <reference field="4294967294" count="1" selected="0">
            <x v="0"/>
          </reference>
          <reference field="0" count="1" selected="0">
            <x v="1"/>
          </reference>
        </references>
      </pivotArea>
    </chartFormat>
    <chartFormat chart="8" format="24">
      <pivotArea type="data" outline="0" fieldPosition="0">
        <references count="2">
          <reference field="4294967294" count="1" selected="0">
            <x v="0"/>
          </reference>
          <reference field="0" count="1" selected="0">
            <x v="4"/>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Distinct Count of Risk ID"/>
    <pivotHierarchy dragToData="1"/>
    <pivotHierarchy dragToData="1" caption="Distinct Count of Risk ID"/>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isk]"/>
        <x15:activeTabTopLevelEntity name="[Origina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B745B3E4-6085-43C7-B720-FEE13B0C839F}" autoFormatId="16" applyNumberFormats="0" applyBorderFormats="0" applyFontFormats="0" applyPatternFormats="0" applyAlignmentFormats="0" applyWidthHeightFormats="0">
  <queryTableRefresh nextId="13">
    <queryTableFields count="12">
      <queryTableField id="1" name="Risk ID" tableColumnId="1"/>
      <queryTableField id="2" name="Risk " tableColumnId="2"/>
      <queryTableField id="3" name="System" tableColumnId="3"/>
      <queryTableField id="4" name="Risk Description" tableColumnId="4"/>
      <queryTableField id="5" name="Risk Scenario" tableColumnId="5"/>
      <queryTableField id="6" name="Impact (1-5)" tableColumnId="6"/>
      <queryTableField id="7" name="Risk Level " tableColumnId="7"/>
      <queryTableField id="8" name="Relevant Framework" tableColumnId="8"/>
      <queryTableField id="9" name="Business Impact" tableColumnId="9"/>
      <queryTableField id="10" name="Recommendation" tableColumnId="10"/>
      <queryTableField id="11" name="Responsible Party" tableColumnId="11"/>
      <queryTableField id="12" name="Status of Risk Remediati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1" xr10:uid="{5927D0FD-FD96-47CC-ACCE-9EA00FBCF590}" sourceName="[Risk].[Risk Level]">
  <pivotTables>
    <pivotTable tabId="21" name="PivotTable33"/>
    <pivotTable tabId="24" name="PivotTable36"/>
    <pivotTable tabId="25" name="PivotTable37"/>
    <pivotTable tabId="27" name="PivotTable39"/>
    <pivotTable tabId="23" name="PivotTable35"/>
    <pivotTable tabId="26" name="PivotTable38"/>
  </pivotTables>
  <data>
    <olap pivotCacheId="1669541227">
      <levels count="2">
        <level uniqueName="[Risk].[Risk Level].[(All)]" sourceCaption="(All)" count="0"/>
        <level uniqueName="[Risk].[Risk Level].[Risk Level]" sourceCaption="Risk Level" count="3">
          <ranges>
            <range startItem="0">
              <i n="[Risk].[Risk Level].&amp;[High]" c="High"/>
              <i n="[Risk].[Risk Level].&amp;[Low]" c="Low"/>
              <i n="[Risk].[Risk Level].&amp;[Medium]" c="Medium"/>
            </range>
          </ranges>
        </level>
      </levels>
      <selections count="1">
        <selection n="[Risk].[Risk 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1" xr10:uid="{AFC45FCC-DDEC-4463-A643-B26A788F54F0}" sourceName="[Risk].[System]">
  <pivotTables>
    <pivotTable tabId="21" name="PivotTable33"/>
    <pivotTable tabId="24" name="PivotTable36"/>
    <pivotTable tabId="25" name="PivotTable37"/>
    <pivotTable tabId="27" name="PivotTable39"/>
    <pivotTable tabId="23" name="PivotTable35"/>
    <pivotTable tabId="26" name="PivotTable38"/>
  </pivotTables>
  <data>
    <olap pivotCacheId="1669541227">
      <levels count="2">
        <level uniqueName="[Risk].[System].[(All)]" sourceCaption="(All)" count="0"/>
        <level uniqueName="[Risk].[System].[System]" sourceCaption="System" count="6">
          <ranges>
            <range startItem="0">
              <i n="[Risk].[System].&amp;[Active Directory]" c="Active Directory"/>
              <i n="[Risk].[System].&amp;[AI]" c="AI"/>
              <i n="[Risk].[System].&amp;[AWS]" c="AWS"/>
              <i n="[Risk].[System].&amp;[Core Banking]" c="Core Banking"/>
              <i n="[Risk].[System].&amp;[Fraud Detection]" c="Fraud Detection"/>
              <i n="[Risk].[System].&amp;[Organisation]" c="Organisation"/>
            </range>
          </ranges>
        </level>
      </levels>
      <selections count="1">
        <selection n="[Risk].[Syste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of_Risk_Remediation" xr10:uid="{7151D02F-53D1-4BDD-A24D-DD1DD1278888}" sourceName="[Risk].[Status of Risk Remediation]">
  <pivotTables>
    <pivotTable tabId="21" name="PivotTable33"/>
    <pivotTable tabId="24" name="PivotTable36"/>
    <pivotTable tabId="25" name="PivotTable37"/>
    <pivotTable tabId="27" name="PivotTable39"/>
    <pivotTable tabId="23" name="PivotTable35"/>
    <pivotTable tabId="26" name="PivotTable38"/>
  </pivotTables>
  <data>
    <olap pivotCacheId="1669541227">
      <levels count="2">
        <level uniqueName="[Risk].[Status of Risk Remediation].[(All)]" sourceCaption="(All)" count="0"/>
        <level uniqueName="[Risk].[Status of Risk Remediation].[Status of Risk Remediation]" sourceCaption="Status of Risk Remediation" count="5">
          <ranges>
            <range startItem="0">
              <i n="[Risk].[Status of Risk Remediation].&amp;[Closed]" c="Closed"/>
              <i n="[Risk].[Status of Risk Remediation].&amp;[Escalated]" c="Escalated"/>
              <i n="[Risk].[Status of Risk Remediation].&amp;[In Progress]" c="In Progress"/>
              <i n="[Risk].[Status of Risk Remediation].&amp;[Monitoring]" c="Monitoring"/>
              <i n="[Risk].[Status of Risk Remediation].&amp;[Pending]" c="Pending"/>
            </range>
          </ranges>
        </level>
      </levels>
      <selections count="1">
        <selection n="[Risk].[Status of Risk Remedi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t_Framework" xr10:uid="{F755A0A5-658E-4EE0-813F-A015A173FD3B}" sourceName="[Risk].[Relevant Framework]">
  <pivotTables>
    <pivotTable tabId="21" name="PivotTable33"/>
    <pivotTable tabId="24" name="PivotTable36"/>
    <pivotTable tabId="25" name="PivotTable37"/>
    <pivotTable tabId="27" name="PivotTable39"/>
    <pivotTable tabId="23" name="PivotTable35"/>
    <pivotTable tabId="26" name="PivotTable38"/>
  </pivotTables>
  <data>
    <olap pivotCacheId="1669541227">
      <levels count="2">
        <level uniqueName="[Risk].[Relevant Framework].[(All)]" sourceCaption="(All)" count="0"/>
        <level uniqueName="[Risk].[Relevant Framework].[Relevant Framework]" sourceCaption="Relevant Framework" count="4">
          <ranges>
            <range startItem="0">
              <i n="[Risk].[Relevant Framework].&amp;[GDPR]" c="GDPR"/>
              <i n="[Risk].[Relevant Framework].&amp;[ISO 27001]" c="ISO 27001"/>
              <i n="[Risk].[Relevant Framework].&amp;[NIST AI Risk Management Framework]" c="NIST AI Risk Management Framework"/>
              <i n="[Risk].[Relevant Framework].&amp;[NIST Cybersecurity Framework]" c="NIST Cybersecurity Framework"/>
            </range>
          </ranges>
        </level>
      </levels>
      <selections count="1">
        <selection n="[Risk].[Relevant Framework].[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85A8DA21-4AA1-45C7-A684-FE9C5E0DA4BA}" sourceName="System">
  <extLst>
    <x:ext xmlns:x15="http://schemas.microsoft.com/office/spreadsheetml/2010/11/main" uri="{2F2917AC-EB37-4324-AD4E-5DD8C200BD13}">
      <x15:tableSlicerCache tableId="1"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DB0E84EE-B278-4FE7-8B75-A48F2ED89BEE}" sourceName="Risk Level">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F7906F21-496E-4870-95BE-2A9D3097F16A}" cache="Slicer_System" caption="System" rowHeight="251883"/>
  <slicer name="Risk Level " xr10:uid="{BF74F960-3D12-4764-A629-2B48B477284D}" cache="Slicer_Risk_Level" caption="Risk Lev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Level" xr10:uid="{D31D5C1A-2FD6-4F56-955B-98861F385A82}" cache="Slicer_Risk_Level1" caption="Risk Level" level="1" rowHeight="251883"/>
  <slicer name="System 1" xr10:uid="{2EF5BF0C-8E14-4A3A-91B1-0F9D3FF4A0AB}" cache="Slicer_System1" caption="System" level="1" rowHeight="251883"/>
  <slicer name="Status of Risk Remediation" xr10:uid="{A88C9F75-576D-4EBB-8B16-B137FAFF120A}" cache="Slicer_Status_of_Risk_Remediation" caption="Status of Risk Remediation" level="1" rowHeight="251883"/>
  <slicer name="Relevant Framework" xr10:uid="{149978EA-30C0-4A38-9483-05FC58123C72}" cache="Slicer_Relevant_Framework" caption="Relevant Framework"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Level 1" xr10:uid="{EAA5BE61-9188-45DE-8512-E84D436B8CD9}" cache="Slicer_Risk_Level1" caption="Risk Level" level="1" style="SlicerStyleOther1" rowHeight="251883"/>
  <slicer name="Risk Level 2" xr10:uid="{0D19F62B-B142-4A49-B0C0-E1520A2AA354}" cache="Slicer_Risk_Level1" caption="Risk Level" level="1" rowHeight="251883"/>
  <slicer name="System 2" xr10:uid="{CEF57447-44E6-408D-A7BF-3F0F96325EE8}" cache="Slicer_System1" caption="System" level="1" rowHeight="251883"/>
  <slicer name="Status of Risk Remediation 1" xr10:uid="{D9BD752C-4D50-40AF-931C-AA26E3E01F47}" cache="Slicer_Status_of_Risk_Remediation" caption="Status of Risk Remediation" level="1" rowHeight="251883"/>
  <slicer name="Relevant Framework 1" xr10:uid="{FC6F94B4-55DF-431F-A4A3-F4B8553169B3}" cache="Slicer_Relevant_Framework" caption="Relevant Framework" level="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D274DD-4269-4400-A620-2FE5B3F21F3B}" name="Table1__2__2_1" displayName="Table1__2__2_1" ref="A1:A2" totalsRowShown="0">
  <autoFilter ref="A1:A2" xr:uid="{6BD274DD-4269-4400-A620-2FE5B3F21F3B}"/>
  <tableColumns count="1">
    <tableColumn id="1" xr3:uid="{F7863A9F-9AE0-4A52-ACC3-A9E9E78FD0C6}" name="Table1__2__2"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F82720-F135-4BE9-914D-12CAD46696C9}" name="Risk" displayName="Risk" ref="A1:L113" tableType="queryTable" totalsRowShown="0">
  <autoFilter ref="A1:L113" xr:uid="{92F82720-F135-4BE9-914D-12CAD46696C9}"/>
  <tableColumns count="12">
    <tableColumn id="1" xr3:uid="{E3CC290F-2981-455B-B28A-D8F1CB107AC8}" uniqueName="1" name="Risk ID" queryTableFieldId="1" dataDxfId="13"/>
    <tableColumn id="2" xr3:uid="{ECE2B59A-C4DF-4C6C-8ABE-EA4A2BBE5EA9}" uniqueName="2" name="Risk " queryTableFieldId="2" dataDxfId="12"/>
    <tableColumn id="3" xr3:uid="{46BE1295-63A7-4252-84EA-5C4C148F4C01}" uniqueName="3" name="System" queryTableFieldId="3" dataDxfId="11"/>
    <tableColumn id="4" xr3:uid="{4B835802-C318-4F4C-8F92-D7A5430A00B5}" uniqueName="4" name="Risk Description" queryTableFieldId="4" dataDxfId="10"/>
    <tableColumn id="5" xr3:uid="{B705D4F8-7CE5-47CA-8EBE-D0F2C92D634B}" uniqueName="5" name="Risk Scenario" queryTableFieldId="5" dataDxfId="9"/>
    <tableColumn id="6" xr3:uid="{FCE570B4-4D77-4C62-8FBA-CD838C68D3ED}" uniqueName="6" name="Impact (1-5)" queryTableFieldId="6"/>
    <tableColumn id="7" xr3:uid="{F4EC8F4D-8128-40A4-B96B-D374764EE3CA}" uniqueName="7" name="Risk Level " queryTableFieldId="7" dataDxfId="8"/>
    <tableColumn id="8" xr3:uid="{EF26219B-476C-4844-9BD3-C5C90BD0E62F}" uniqueName="8" name="Relevant Framework" queryTableFieldId="8" dataDxfId="7"/>
    <tableColumn id="9" xr3:uid="{65F02469-2DEA-4558-B671-EE94C1615E03}" uniqueName="9" name="Business Impact" queryTableFieldId="9" dataDxfId="6"/>
    <tableColumn id="10" xr3:uid="{A773EBED-94E0-4C59-B96C-7C64B2CC67C6}" uniqueName="10" name="Recommendation" queryTableFieldId="10" dataDxfId="5"/>
    <tableColumn id="11" xr3:uid="{37A4377B-7069-4BCA-B6D8-BA4665961D9D}" uniqueName="11" name="Responsible Party" queryTableFieldId="11" dataDxfId="4"/>
    <tableColumn id="12" xr3:uid="{5047CA44-0815-4369-BA09-AEB0F3F0D829}" uniqueName="12" name="Status of Risk Remediation" queryTableFieldId="12"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FC91C2-A17F-4A38-90EE-A5D1709F1A42}" name="Original" displayName="Original" ref="A1:L14" totalsRowShown="0" headerRowDxfId="28" dataDxfId="27">
  <autoFilter ref="A1:L14" xr:uid="{1A6C096F-D4C8-49C9-8FB4-46C64CA9A6BF}"/>
  <tableColumns count="12">
    <tableColumn id="1" xr3:uid="{20AEE4E5-96D9-477B-8D55-B7D0231B8520}" name="Risk ID" dataDxfId="26"/>
    <tableColumn id="2" xr3:uid="{3F830A79-C1A7-4AE2-AC0B-1B64F78C2447}" name="Risk" dataDxfId="25"/>
    <tableColumn id="3" xr3:uid="{94EAEF3C-BBEC-40A7-BE52-DBAB4443B4A2}" name="System" dataDxfId="24"/>
    <tableColumn id="4" xr3:uid="{33B4EDC6-C674-4AF0-835F-BAD2D9942CF9}" name="Risk Description" dataDxfId="23"/>
    <tableColumn id="5" xr3:uid="{570DDAE2-D5BF-4C85-95E0-1AFA44FB7590}" name="Risk Scenario" dataDxfId="22"/>
    <tableColumn id="6" xr3:uid="{E7776157-363D-4227-BB61-9FFA520C04DD}" name="Impact (1-5)" dataDxfId="21"/>
    <tableColumn id="7" xr3:uid="{BA648207-ED71-4E6E-B395-64F92F9B8A74}" name="Risk Level" dataDxfId="20"/>
    <tableColumn id="8" xr3:uid="{8B6791B1-E5CD-41FD-AF0E-CAC5864A3955}" name="Relevant Framework" dataDxfId="19"/>
    <tableColumn id="9" xr3:uid="{A6F6C96D-F239-40B9-9592-0A688F74E280}" name="Business Impact" dataDxfId="18"/>
    <tableColumn id="10" xr3:uid="{92B193D2-25BA-43CF-927D-42F41077A786}" name="Recommendation" dataDxfId="17"/>
    <tableColumn id="11" xr3:uid="{7D4ECD76-56F3-4F3B-9300-A862545B0601}" name="Responsible Party" dataDxfId="16"/>
    <tableColumn id="12" xr3:uid="{36EF6920-B9DD-4045-B31E-41ABCB1C570F}" name="Status of Risk Remediation"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1CD0-A7EF-4495-A136-6CC849BA7D44}">
  <dimension ref="A1:A2"/>
  <sheetViews>
    <sheetView workbookViewId="0">
      <selection activeCell="A6" sqref="A6"/>
    </sheetView>
  </sheetViews>
  <sheetFormatPr defaultRowHeight="14.5" x14ac:dyDescent="0.35"/>
  <cols>
    <col min="1" max="1" width="80.7265625" bestFit="1" customWidth="1"/>
  </cols>
  <sheetData>
    <row r="1" spans="1:1" x14ac:dyDescent="0.35">
      <c r="A1" t="s">
        <v>131</v>
      </c>
    </row>
    <row r="2" spans="1:1" x14ac:dyDescent="0.35">
      <c r="A2" s="11" t="s">
        <v>132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A583-F267-4460-A88F-48E17E180790}">
  <dimension ref="A1:L113"/>
  <sheetViews>
    <sheetView workbookViewId="0">
      <selection sqref="A1:L113"/>
    </sheetView>
  </sheetViews>
  <sheetFormatPr defaultRowHeight="14.5" x14ac:dyDescent="0.35"/>
  <cols>
    <col min="1" max="1" width="9.26953125" bestFit="1" customWidth="1"/>
    <col min="2" max="2" width="37.7265625" bestFit="1" customWidth="1"/>
    <col min="3" max="3" width="14.26953125" bestFit="1" customWidth="1"/>
    <col min="4" max="5" width="80.7265625" bestFit="1" customWidth="1"/>
    <col min="6" max="6" width="13.453125" bestFit="1" customWidth="1"/>
    <col min="7" max="7" width="12.36328125" bestFit="1" customWidth="1"/>
    <col min="8" max="8" width="32.7265625" bestFit="1" customWidth="1"/>
    <col min="9" max="9" width="34.36328125" bestFit="1" customWidth="1"/>
    <col min="10" max="10" width="80.7265625" bestFit="1" customWidth="1"/>
    <col min="11" max="11" width="19.08984375" bestFit="1" customWidth="1"/>
    <col min="12" max="12" width="27" bestFit="1" customWidth="1"/>
  </cols>
  <sheetData>
    <row r="1" spans="1:12" x14ac:dyDescent="0.35">
      <c r="A1" t="s">
        <v>0</v>
      </c>
      <c r="B1" t="s">
        <v>18</v>
      </c>
      <c r="C1" t="s">
        <v>1</v>
      </c>
      <c r="D1" t="s">
        <v>2</v>
      </c>
      <c r="E1" t="s">
        <v>103</v>
      </c>
      <c r="F1" t="s">
        <v>109</v>
      </c>
      <c r="G1" t="s">
        <v>3</v>
      </c>
      <c r="H1" t="s">
        <v>5</v>
      </c>
      <c r="I1" t="s">
        <v>8</v>
      </c>
      <c r="J1" t="s">
        <v>4</v>
      </c>
      <c r="K1" t="s">
        <v>6</v>
      </c>
      <c r="L1" t="s">
        <v>100</v>
      </c>
    </row>
    <row r="2" spans="1:12" x14ac:dyDescent="0.35">
      <c r="A2" s="11" t="s">
        <v>7</v>
      </c>
      <c r="B2" s="11" t="s">
        <v>9</v>
      </c>
      <c r="C2" s="11" t="s">
        <v>10</v>
      </c>
      <c r="D2" s="11" t="s">
        <v>11</v>
      </c>
      <c r="E2" s="11" t="s">
        <v>12</v>
      </c>
      <c r="F2">
        <v>5</v>
      </c>
      <c r="G2" s="11" t="s">
        <v>13</v>
      </c>
      <c r="H2" s="11" t="s">
        <v>14</v>
      </c>
      <c r="I2" s="11" t="s">
        <v>120</v>
      </c>
      <c r="J2" s="11" t="s">
        <v>133</v>
      </c>
      <c r="K2" s="11" t="s">
        <v>41</v>
      </c>
      <c r="L2" s="11" t="s">
        <v>110</v>
      </c>
    </row>
    <row r="3" spans="1:12" x14ac:dyDescent="0.35">
      <c r="A3" s="11" t="s">
        <v>7</v>
      </c>
      <c r="B3" s="11" t="s">
        <v>9</v>
      </c>
      <c r="C3" s="11" t="s">
        <v>10</v>
      </c>
      <c r="D3" s="11" t="s">
        <v>11</v>
      </c>
      <c r="E3" s="11" t="s">
        <v>12</v>
      </c>
      <c r="F3">
        <v>5</v>
      </c>
      <c r="G3" s="11" t="s">
        <v>13</v>
      </c>
      <c r="H3" s="11" t="s">
        <v>14</v>
      </c>
      <c r="I3" s="11" t="s">
        <v>120</v>
      </c>
      <c r="J3" s="11" t="s">
        <v>134</v>
      </c>
      <c r="K3" s="11" t="s">
        <v>41</v>
      </c>
      <c r="L3" s="11" t="s">
        <v>110</v>
      </c>
    </row>
    <row r="4" spans="1:12" x14ac:dyDescent="0.35">
      <c r="A4" s="11" t="s">
        <v>7</v>
      </c>
      <c r="B4" s="11" t="s">
        <v>9</v>
      </c>
      <c r="C4" s="11" t="s">
        <v>10</v>
      </c>
      <c r="D4" s="11" t="s">
        <v>11</v>
      </c>
      <c r="E4" s="11" t="s">
        <v>12</v>
      </c>
      <c r="F4">
        <v>5</v>
      </c>
      <c r="G4" s="11" t="s">
        <v>13</v>
      </c>
      <c r="H4" s="11" t="s">
        <v>14</v>
      </c>
      <c r="I4" s="11" t="s">
        <v>97</v>
      </c>
      <c r="J4" s="11" t="s">
        <v>133</v>
      </c>
      <c r="K4" s="11" t="s">
        <v>41</v>
      </c>
      <c r="L4" s="11" t="s">
        <v>110</v>
      </c>
    </row>
    <row r="5" spans="1:12" x14ac:dyDescent="0.35">
      <c r="A5" s="11" t="s">
        <v>7</v>
      </c>
      <c r="B5" s="11" t="s">
        <v>9</v>
      </c>
      <c r="C5" s="11" t="s">
        <v>10</v>
      </c>
      <c r="D5" s="11" t="s">
        <v>11</v>
      </c>
      <c r="E5" s="11" t="s">
        <v>12</v>
      </c>
      <c r="F5">
        <v>5</v>
      </c>
      <c r="G5" s="11" t="s">
        <v>13</v>
      </c>
      <c r="H5" s="11" t="s">
        <v>14</v>
      </c>
      <c r="I5" s="11" t="s">
        <v>97</v>
      </c>
      <c r="J5" s="11" t="s">
        <v>134</v>
      </c>
      <c r="K5" s="11" t="s">
        <v>41</v>
      </c>
      <c r="L5" s="11" t="s">
        <v>110</v>
      </c>
    </row>
    <row r="6" spans="1:12" x14ac:dyDescent="0.35">
      <c r="A6" s="11" t="s">
        <v>7</v>
      </c>
      <c r="B6" s="11" t="s">
        <v>9</v>
      </c>
      <c r="C6" s="11" t="s">
        <v>10</v>
      </c>
      <c r="D6" s="11" t="s">
        <v>11</v>
      </c>
      <c r="E6" s="11" t="s">
        <v>12</v>
      </c>
      <c r="F6">
        <v>5</v>
      </c>
      <c r="G6" s="11" t="s">
        <v>13</v>
      </c>
      <c r="H6" s="11" t="s">
        <v>14</v>
      </c>
      <c r="I6" s="11" t="s">
        <v>121</v>
      </c>
      <c r="J6" s="11" t="s">
        <v>133</v>
      </c>
      <c r="K6" s="11" t="s">
        <v>41</v>
      </c>
      <c r="L6" s="11" t="s">
        <v>110</v>
      </c>
    </row>
    <row r="7" spans="1:12" x14ac:dyDescent="0.35">
      <c r="A7" s="11" t="s">
        <v>7</v>
      </c>
      <c r="B7" s="11" t="s">
        <v>9</v>
      </c>
      <c r="C7" s="11" t="s">
        <v>10</v>
      </c>
      <c r="D7" s="11" t="s">
        <v>11</v>
      </c>
      <c r="E7" s="11" t="s">
        <v>12</v>
      </c>
      <c r="F7">
        <v>5</v>
      </c>
      <c r="G7" s="11" t="s">
        <v>13</v>
      </c>
      <c r="H7" s="11" t="s">
        <v>14</v>
      </c>
      <c r="I7" s="11" t="s">
        <v>121</v>
      </c>
      <c r="J7" s="11" t="s">
        <v>134</v>
      </c>
      <c r="K7" s="11" t="s">
        <v>41</v>
      </c>
      <c r="L7" s="11" t="s">
        <v>110</v>
      </c>
    </row>
    <row r="8" spans="1:12" x14ac:dyDescent="0.35">
      <c r="A8" s="11" t="s">
        <v>7</v>
      </c>
      <c r="B8" s="11" t="s">
        <v>9</v>
      </c>
      <c r="C8" s="11" t="s">
        <v>10</v>
      </c>
      <c r="D8" s="11" t="s">
        <v>11</v>
      </c>
      <c r="E8" s="11" t="s">
        <v>12</v>
      </c>
      <c r="F8">
        <v>5</v>
      </c>
      <c r="G8" s="11" t="s">
        <v>13</v>
      </c>
      <c r="H8" s="11" t="s">
        <v>118</v>
      </c>
      <c r="I8" s="11" t="s">
        <v>120</v>
      </c>
      <c r="J8" s="11" t="s">
        <v>133</v>
      </c>
      <c r="K8" s="11" t="s">
        <v>41</v>
      </c>
      <c r="L8" s="11" t="s">
        <v>110</v>
      </c>
    </row>
    <row r="9" spans="1:12" x14ac:dyDescent="0.35">
      <c r="A9" s="11" t="s">
        <v>7</v>
      </c>
      <c r="B9" s="11" t="s">
        <v>9</v>
      </c>
      <c r="C9" s="11" t="s">
        <v>10</v>
      </c>
      <c r="D9" s="11" t="s">
        <v>11</v>
      </c>
      <c r="E9" s="11" t="s">
        <v>12</v>
      </c>
      <c r="F9">
        <v>5</v>
      </c>
      <c r="G9" s="11" t="s">
        <v>13</v>
      </c>
      <c r="H9" s="11" t="s">
        <v>118</v>
      </c>
      <c r="I9" s="11" t="s">
        <v>120</v>
      </c>
      <c r="J9" s="11" t="s">
        <v>134</v>
      </c>
      <c r="K9" s="11" t="s">
        <v>41</v>
      </c>
      <c r="L9" s="11" t="s">
        <v>110</v>
      </c>
    </row>
    <row r="10" spans="1:12" x14ac:dyDescent="0.35">
      <c r="A10" s="11" t="s">
        <v>7</v>
      </c>
      <c r="B10" s="11" t="s">
        <v>9</v>
      </c>
      <c r="C10" s="11" t="s">
        <v>10</v>
      </c>
      <c r="D10" s="11" t="s">
        <v>11</v>
      </c>
      <c r="E10" s="11" t="s">
        <v>12</v>
      </c>
      <c r="F10">
        <v>5</v>
      </c>
      <c r="G10" s="11" t="s">
        <v>13</v>
      </c>
      <c r="H10" s="11" t="s">
        <v>118</v>
      </c>
      <c r="I10" s="11" t="s">
        <v>97</v>
      </c>
      <c r="J10" s="11" t="s">
        <v>133</v>
      </c>
      <c r="K10" s="11" t="s">
        <v>41</v>
      </c>
      <c r="L10" s="11" t="s">
        <v>110</v>
      </c>
    </row>
    <row r="11" spans="1:12" x14ac:dyDescent="0.35">
      <c r="A11" s="11" t="s">
        <v>7</v>
      </c>
      <c r="B11" s="11" t="s">
        <v>9</v>
      </c>
      <c r="C11" s="11" t="s">
        <v>10</v>
      </c>
      <c r="D11" s="11" t="s">
        <v>11</v>
      </c>
      <c r="E11" s="11" t="s">
        <v>12</v>
      </c>
      <c r="F11">
        <v>5</v>
      </c>
      <c r="G11" s="11" t="s">
        <v>13</v>
      </c>
      <c r="H11" s="11" t="s">
        <v>118</v>
      </c>
      <c r="I11" s="11" t="s">
        <v>97</v>
      </c>
      <c r="J11" s="11" t="s">
        <v>134</v>
      </c>
      <c r="K11" s="11" t="s">
        <v>41</v>
      </c>
      <c r="L11" s="11" t="s">
        <v>110</v>
      </c>
    </row>
    <row r="12" spans="1:12" x14ac:dyDescent="0.35">
      <c r="A12" s="11" t="s">
        <v>7</v>
      </c>
      <c r="B12" s="11" t="s">
        <v>9</v>
      </c>
      <c r="C12" s="11" t="s">
        <v>10</v>
      </c>
      <c r="D12" s="11" t="s">
        <v>11</v>
      </c>
      <c r="E12" s="11" t="s">
        <v>12</v>
      </c>
      <c r="F12">
        <v>5</v>
      </c>
      <c r="G12" s="11" t="s">
        <v>13</v>
      </c>
      <c r="H12" s="11" t="s">
        <v>118</v>
      </c>
      <c r="I12" s="11" t="s">
        <v>121</v>
      </c>
      <c r="J12" s="11" t="s">
        <v>133</v>
      </c>
      <c r="K12" s="11" t="s">
        <v>41</v>
      </c>
      <c r="L12" s="11" t="s">
        <v>110</v>
      </c>
    </row>
    <row r="13" spans="1:12" x14ac:dyDescent="0.35">
      <c r="A13" s="11" t="s">
        <v>7</v>
      </c>
      <c r="B13" s="11" t="s">
        <v>9</v>
      </c>
      <c r="C13" s="11" t="s">
        <v>10</v>
      </c>
      <c r="D13" s="11" t="s">
        <v>11</v>
      </c>
      <c r="E13" s="11" t="s">
        <v>12</v>
      </c>
      <c r="F13">
        <v>5</v>
      </c>
      <c r="G13" s="11" t="s">
        <v>13</v>
      </c>
      <c r="H13" s="11" t="s">
        <v>118</v>
      </c>
      <c r="I13" s="11" t="s">
        <v>121</v>
      </c>
      <c r="J13" s="11" t="s">
        <v>134</v>
      </c>
      <c r="K13" s="11" t="s">
        <v>41</v>
      </c>
      <c r="L13" s="11" t="s">
        <v>110</v>
      </c>
    </row>
    <row r="14" spans="1:12" x14ac:dyDescent="0.35">
      <c r="A14" s="11" t="s">
        <v>17</v>
      </c>
      <c r="B14" s="11" t="s">
        <v>19</v>
      </c>
      <c r="C14" s="11" t="s">
        <v>20</v>
      </c>
      <c r="D14" s="11" t="s">
        <v>21</v>
      </c>
      <c r="E14" s="11" t="s">
        <v>22</v>
      </c>
      <c r="F14">
        <v>5</v>
      </c>
      <c r="G14" s="11" t="s">
        <v>13</v>
      </c>
      <c r="H14" s="11" t="s">
        <v>119</v>
      </c>
      <c r="I14" s="11" t="s">
        <v>120</v>
      </c>
      <c r="J14" s="11" t="s">
        <v>135</v>
      </c>
      <c r="K14" s="11" t="s">
        <v>41</v>
      </c>
      <c r="L14" s="11" t="s">
        <v>111</v>
      </c>
    </row>
    <row r="15" spans="1:12" x14ac:dyDescent="0.35">
      <c r="A15" s="11" t="s">
        <v>17</v>
      </c>
      <c r="B15" s="11" t="s">
        <v>19</v>
      </c>
      <c r="C15" s="11" t="s">
        <v>20</v>
      </c>
      <c r="D15" s="11" t="s">
        <v>21</v>
      </c>
      <c r="E15" s="11" t="s">
        <v>22</v>
      </c>
      <c r="F15">
        <v>5</v>
      </c>
      <c r="G15" s="11" t="s">
        <v>13</v>
      </c>
      <c r="H15" s="11" t="s">
        <v>119</v>
      </c>
      <c r="I15" s="11" t="s">
        <v>120</v>
      </c>
      <c r="J15" s="11" t="s">
        <v>136</v>
      </c>
      <c r="K15" s="11" t="s">
        <v>41</v>
      </c>
      <c r="L15" s="11" t="s">
        <v>111</v>
      </c>
    </row>
    <row r="16" spans="1:12" x14ac:dyDescent="0.35">
      <c r="A16" s="11" t="s">
        <v>17</v>
      </c>
      <c r="B16" s="11" t="s">
        <v>19</v>
      </c>
      <c r="C16" s="11" t="s">
        <v>20</v>
      </c>
      <c r="D16" s="11" t="s">
        <v>21</v>
      </c>
      <c r="E16" s="11" t="s">
        <v>22</v>
      </c>
      <c r="F16">
        <v>5</v>
      </c>
      <c r="G16" s="11" t="s">
        <v>13</v>
      </c>
      <c r="H16" s="11" t="s">
        <v>119</v>
      </c>
      <c r="I16" s="11" t="s">
        <v>120</v>
      </c>
      <c r="J16" s="11" t="s">
        <v>137</v>
      </c>
      <c r="K16" s="11" t="s">
        <v>41</v>
      </c>
      <c r="L16" s="11" t="s">
        <v>111</v>
      </c>
    </row>
    <row r="17" spans="1:12" x14ac:dyDescent="0.35">
      <c r="A17" s="11" t="s">
        <v>17</v>
      </c>
      <c r="B17" s="11" t="s">
        <v>19</v>
      </c>
      <c r="C17" s="11" t="s">
        <v>20</v>
      </c>
      <c r="D17" s="11" t="s">
        <v>21</v>
      </c>
      <c r="E17" s="11" t="s">
        <v>22</v>
      </c>
      <c r="F17">
        <v>5</v>
      </c>
      <c r="G17" s="11" t="s">
        <v>13</v>
      </c>
      <c r="H17" s="11" t="s">
        <v>119</v>
      </c>
      <c r="I17" s="11" t="s">
        <v>122</v>
      </c>
      <c r="J17" s="11" t="s">
        <v>135</v>
      </c>
      <c r="K17" s="11" t="s">
        <v>41</v>
      </c>
      <c r="L17" s="11" t="s">
        <v>111</v>
      </c>
    </row>
    <row r="18" spans="1:12" x14ac:dyDescent="0.35">
      <c r="A18" s="11" t="s">
        <v>17</v>
      </c>
      <c r="B18" s="11" t="s">
        <v>19</v>
      </c>
      <c r="C18" s="11" t="s">
        <v>20</v>
      </c>
      <c r="D18" s="11" t="s">
        <v>21</v>
      </c>
      <c r="E18" s="11" t="s">
        <v>22</v>
      </c>
      <c r="F18">
        <v>5</v>
      </c>
      <c r="G18" s="11" t="s">
        <v>13</v>
      </c>
      <c r="H18" s="11" t="s">
        <v>119</v>
      </c>
      <c r="I18" s="11" t="s">
        <v>122</v>
      </c>
      <c r="J18" s="11" t="s">
        <v>136</v>
      </c>
      <c r="K18" s="11" t="s">
        <v>41</v>
      </c>
      <c r="L18" s="11" t="s">
        <v>111</v>
      </c>
    </row>
    <row r="19" spans="1:12" x14ac:dyDescent="0.35">
      <c r="A19" s="11" t="s">
        <v>17</v>
      </c>
      <c r="B19" s="11" t="s">
        <v>19</v>
      </c>
      <c r="C19" s="11" t="s">
        <v>20</v>
      </c>
      <c r="D19" s="11" t="s">
        <v>21</v>
      </c>
      <c r="E19" s="11" t="s">
        <v>22</v>
      </c>
      <c r="F19">
        <v>5</v>
      </c>
      <c r="G19" s="11" t="s">
        <v>13</v>
      </c>
      <c r="H19" s="11" t="s">
        <v>119</v>
      </c>
      <c r="I19" s="11" t="s">
        <v>122</v>
      </c>
      <c r="J19" s="11" t="s">
        <v>137</v>
      </c>
      <c r="K19" s="11" t="s">
        <v>41</v>
      </c>
      <c r="L19" s="11" t="s">
        <v>111</v>
      </c>
    </row>
    <row r="20" spans="1:12" x14ac:dyDescent="0.35">
      <c r="A20" s="11" t="s">
        <v>17</v>
      </c>
      <c r="B20" s="11" t="s">
        <v>19</v>
      </c>
      <c r="C20" s="11" t="s">
        <v>20</v>
      </c>
      <c r="D20" s="11" t="s">
        <v>21</v>
      </c>
      <c r="E20" s="11" t="s">
        <v>22</v>
      </c>
      <c r="F20">
        <v>5</v>
      </c>
      <c r="G20" s="11" t="s">
        <v>13</v>
      </c>
      <c r="H20" s="11" t="s">
        <v>118</v>
      </c>
      <c r="I20" s="11" t="s">
        <v>120</v>
      </c>
      <c r="J20" s="11" t="s">
        <v>135</v>
      </c>
      <c r="K20" s="11" t="s">
        <v>41</v>
      </c>
      <c r="L20" s="11" t="s">
        <v>111</v>
      </c>
    </row>
    <row r="21" spans="1:12" x14ac:dyDescent="0.35">
      <c r="A21" s="11" t="s">
        <v>17</v>
      </c>
      <c r="B21" s="11" t="s">
        <v>19</v>
      </c>
      <c r="C21" s="11" t="s">
        <v>20</v>
      </c>
      <c r="D21" s="11" t="s">
        <v>21</v>
      </c>
      <c r="E21" s="11" t="s">
        <v>22</v>
      </c>
      <c r="F21">
        <v>5</v>
      </c>
      <c r="G21" s="11" t="s">
        <v>13</v>
      </c>
      <c r="H21" s="11" t="s">
        <v>118</v>
      </c>
      <c r="I21" s="11" t="s">
        <v>120</v>
      </c>
      <c r="J21" s="11" t="s">
        <v>136</v>
      </c>
      <c r="K21" s="11" t="s">
        <v>41</v>
      </c>
      <c r="L21" s="11" t="s">
        <v>111</v>
      </c>
    </row>
    <row r="22" spans="1:12" x14ac:dyDescent="0.35">
      <c r="A22" s="11" t="s">
        <v>17</v>
      </c>
      <c r="B22" s="11" t="s">
        <v>19</v>
      </c>
      <c r="C22" s="11" t="s">
        <v>20</v>
      </c>
      <c r="D22" s="11" t="s">
        <v>21</v>
      </c>
      <c r="E22" s="11" t="s">
        <v>22</v>
      </c>
      <c r="F22">
        <v>5</v>
      </c>
      <c r="G22" s="11" t="s">
        <v>13</v>
      </c>
      <c r="H22" s="11" t="s">
        <v>118</v>
      </c>
      <c r="I22" s="11" t="s">
        <v>120</v>
      </c>
      <c r="J22" s="11" t="s">
        <v>137</v>
      </c>
      <c r="K22" s="11" t="s">
        <v>41</v>
      </c>
      <c r="L22" s="11" t="s">
        <v>111</v>
      </c>
    </row>
    <row r="23" spans="1:12" x14ac:dyDescent="0.35">
      <c r="A23" s="11" t="s">
        <v>17</v>
      </c>
      <c r="B23" s="11" t="s">
        <v>19</v>
      </c>
      <c r="C23" s="11" t="s">
        <v>20</v>
      </c>
      <c r="D23" s="11" t="s">
        <v>21</v>
      </c>
      <c r="E23" s="11" t="s">
        <v>22</v>
      </c>
      <c r="F23">
        <v>5</v>
      </c>
      <c r="G23" s="11" t="s">
        <v>13</v>
      </c>
      <c r="H23" s="11" t="s">
        <v>118</v>
      </c>
      <c r="I23" s="11" t="s">
        <v>122</v>
      </c>
      <c r="J23" s="11" t="s">
        <v>135</v>
      </c>
      <c r="K23" s="11" t="s">
        <v>41</v>
      </c>
      <c r="L23" s="11" t="s">
        <v>111</v>
      </c>
    </row>
    <row r="24" spans="1:12" x14ac:dyDescent="0.35">
      <c r="A24" s="11" t="s">
        <v>17</v>
      </c>
      <c r="B24" s="11" t="s">
        <v>19</v>
      </c>
      <c r="C24" s="11" t="s">
        <v>20</v>
      </c>
      <c r="D24" s="11" t="s">
        <v>21</v>
      </c>
      <c r="E24" s="11" t="s">
        <v>22</v>
      </c>
      <c r="F24">
        <v>5</v>
      </c>
      <c r="G24" s="11" t="s">
        <v>13</v>
      </c>
      <c r="H24" s="11" t="s">
        <v>118</v>
      </c>
      <c r="I24" s="11" t="s">
        <v>122</v>
      </c>
      <c r="J24" s="11" t="s">
        <v>136</v>
      </c>
      <c r="K24" s="11" t="s">
        <v>41</v>
      </c>
      <c r="L24" s="11" t="s">
        <v>111</v>
      </c>
    </row>
    <row r="25" spans="1:12" x14ac:dyDescent="0.35">
      <c r="A25" s="11" t="s">
        <v>17</v>
      </c>
      <c r="B25" s="11" t="s">
        <v>19</v>
      </c>
      <c r="C25" s="11" t="s">
        <v>20</v>
      </c>
      <c r="D25" s="11" t="s">
        <v>21</v>
      </c>
      <c r="E25" s="11" t="s">
        <v>22</v>
      </c>
      <c r="F25">
        <v>5</v>
      </c>
      <c r="G25" s="11" t="s">
        <v>13</v>
      </c>
      <c r="H25" s="11" t="s">
        <v>118</v>
      </c>
      <c r="I25" s="11" t="s">
        <v>122</v>
      </c>
      <c r="J25" s="11" t="s">
        <v>137</v>
      </c>
      <c r="K25" s="11" t="s">
        <v>41</v>
      </c>
      <c r="L25" s="11" t="s">
        <v>111</v>
      </c>
    </row>
    <row r="26" spans="1:12" x14ac:dyDescent="0.35">
      <c r="A26" s="11" t="s">
        <v>17</v>
      </c>
      <c r="B26" s="11" t="s">
        <v>19</v>
      </c>
      <c r="C26" s="11" t="s">
        <v>20</v>
      </c>
      <c r="D26" s="11" t="s">
        <v>21</v>
      </c>
      <c r="E26" s="11" t="s">
        <v>22</v>
      </c>
      <c r="F26">
        <v>5</v>
      </c>
      <c r="G26" s="11" t="s">
        <v>13</v>
      </c>
      <c r="H26" s="11" t="s">
        <v>14</v>
      </c>
      <c r="I26" s="11" t="s">
        <v>120</v>
      </c>
      <c r="J26" s="11" t="s">
        <v>135</v>
      </c>
      <c r="K26" s="11" t="s">
        <v>41</v>
      </c>
      <c r="L26" s="11" t="s">
        <v>111</v>
      </c>
    </row>
    <row r="27" spans="1:12" x14ac:dyDescent="0.35">
      <c r="A27" s="11" t="s">
        <v>17</v>
      </c>
      <c r="B27" s="11" t="s">
        <v>19</v>
      </c>
      <c r="C27" s="11" t="s">
        <v>20</v>
      </c>
      <c r="D27" s="11" t="s">
        <v>21</v>
      </c>
      <c r="E27" s="11" t="s">
        <v>22</v>
      </c>
      <c r="F27">
        <v>5</v>
      </c>
      <c r="G27" s="11" t="s">
        <v>13</v>
      </c>
      <c r="H27" s="11" t="s">
        <v>14</v>
      </c>
      <c r="I27" s="11" t="s">
        <v>120</v>
      </c>
      <c r="J27" s="11" t="s">
        <v>136</v>
      </c>
      <c r="K27" s="11" t="s">
        <v>41</v>
      </c>
      <c r="L27" s="11" t="s">
        <v>111</v>
      </c>
    </row>
    <row r="28" spans="1:12" x14ac:dyDescent="0.35">
      <c r="A28" s="11" t="s">
        <v>17</v>
      </c>
      <c r="B28" s="11" t="s">
        <v>19</v>
      </c>
      <c r="C28" s="11" t="s">
        <v>20</v>
      </c>
      <c r="D28" s="11" t="s">
        <v>21</v>
      </c>
      <c r="E28" s="11" t="s">
        <v>22</v>
      </c>
      <c r="F28">
        <v>5</v>
      </c>
      <c r="G28" s="11" t="s">
        <v>13</v>
      </c>
      <c r="H28" s="11" t="s">
        <v>14</v>
      </c>
      <c r="I28" s="11" t="s">
        <v>120</v>
      </c>
      <c r="J28" s="11" t="s">
        <v>137</v>
      </c>
      <c r="K28" s="11" t="s">
        <v>41</v>
      </c>
      <c r="L28" s="11" t="s">
        <v>111</v>
      </c>
    </row>
    <row r="29" spans="1:12" x14ac:dyDescent="0.35">
      <c r="A29" s="11" t="s">
        <v>17</v>
      </c>
      <c r="B29" s="11" t="s">
        <v>19</v>
      </c>
      <c r="C29" s="11" t="s">
        <v>20</v>
      </c>
      <c r="D29" s="11" t="s">
        <v>21</v>
      </c>
      <c r="E29" s="11" t="s">
        <v>22</v>
      </c>
      <c r="F29">
        <v>5</v>
      </c>
      <c r="G29" s="11" t="s">
        <v>13</v>
      </c>
      <c r="H29" s="11" t="s">
        <v>14</v>
      </c>
      <c r="I29" s="11" t="s">
        <v>122</v>
      </c>
      <c r="J29" s="11" t="s">
        <v>135</v>
      </c>
      <c r="K29" s="11" t="s">
        <v>41</v>
      </c>
      <c r="L29" s="11" t="s">
        <v>111</v>
      </c>
    </row>
    <row r="30" spans="1:12" x14ac:dyDescent="0.35">
      <c r="A30" s="11" t="s">
        <v>17</v>
      </c>
      <c r="B30" s="11" t="s">
        <v>19</v>
      </c>
      <c r="C30" s="11" t="s">
        <v>20</v>
      </c>
      <c r="D30" s="11" t="s">
        <v>21</v>
      </c>
      <c r="E30" s="11" t="s">
        <v>22</v>
      </c>
      <c r="F30">
        <v>5</v>
      </c>
      <c r="G30" s="11" t="s">
        <v>13</v>
      </c>
      <c r="H30" s="11" t="s">
        <v>14</v>
      </c>
      <c r="I30" s="11" t="s">
        <v>122</v>
      </c>
      <c r="J30" s="11" t="s">
        <v>136</v>
      </c>
      <c r="K30" s="11" t="s">
        <v>41</v>
      </c>
      <c r="L30" s="11" t="s">
        <v>111</v>
      </c>
    </row>
    <row r="31" spans="1:12" x14ac:dyDescent="0.35">
      <c r="A31" s="11" t="s">
        <v>17</v>
      </c>
      <c r="B31" s="11" t="s">
        <v>19</v>
      </c>
      <c r="C31" s="11" t="s">
        <v>20</v>
      </c>
      <c r="D31" s="11" t="s">
        <v>21</v>
      </c>
      <c r="E31" s="11" t="s">
        <v>22</v>
      </c>
      <c r="F31">
        <v>5</v>
      </c>
      <c r="G31" s="11" t="s">
        <v>13</v>
      </c>
      <c r="H31" s="11" t="s">
        <v>14</v>
      </c>
      <c r="I31" s="11" t="s">
        <v>122</v>
      </c>
      <c r="J31" s="11" t="s">
        <v>137</v>
      </c>
      <c r="K31" s="11" t="s">
        <v>41</v>
      </c>
      <c r="L31" s="11" t="s">
        <v>111</v>
      </c>
    </row>
    <row r="32" spans="1:12" x14ac:dyDescent="0.35">
      <c r="A32" s="11" t="s">
        <v>24</v>
      </c>
      <c r="B32" s="11" t="s">
        <v>31</v>
      </c>
      <c r="C32" s="11" t="s">
        <v>10</v>
      </c>
      <c r="D32" s="11" t="s">
        <v>42</v>
      </c>
      <c r="E32" s="11" t="s">
        <v>43</v>
      </c>
      <c r="F32">
        <v>5</v>
      </c>
      <c r="G32" s="11" t="s">
        <v>13</v>
      </c>
      <c r="H32" s="11" t="s">
        <v>118</v>
      </c>
      <c r="I32" s="11" t="s">
        <v>123</v>
      </c>
      <c r="J32" s="11" t="s">
        <v>138</v>
      </c>
      <c r="K32" s="11" t="s">
        <v>41</v>
      </c>
      <c r="L32" s="11" t="s">
        <v>110</v>
      </c>
    </row>
    <row r="33" spans="1:12" x14ac:dyDescent="0.35">
      <c r="A33" s="11" t="s">
        <v>24</v>
      </c>
      <c r="B33" s="11" t="s">
        <v>31</v>
      </c>
      <c r="C33" s="11" t="s">
        <v>10</v>
      </c>
      <c r="D33" s="11" t="s">
        <v>42</v>
      </c>
      <c r="E33" s="11" t="s">
        <v>43</v>
      </c>
      <c r="F33">
        <v>5</v>
      </c>
      <c r="G33" s="11" t="s">
        <v>13</v>
      </c>
      <c r="H33" s="11" t="s">
        <v>118</v>
      </c>
      <c r="I33" s="11" t="s">
        <v>123</v>
      </c>
      <c r="J33" s="11" t="s">
        <v>138</v>
      </c>
      <c r="K33" s="11" t="s">
        <v>128</v>
      </c>
      <c r="L33" s="11" t="s">
        <v>110</v>
      </c>
    </row>
    <row r="34" spans="1:12" x14ac:dyDescent="0.35">
      <c r="A34" s="11" t="s">
        <v>24</v>
      </c>
      <c r="B34" s="11" t="s">
        <v>31</v>
      </c>
      <c r="C34" s="11" t="s">
        <v>10</v>
      </c>
      <c r="D34" s="11" t="s">
        <v>42</v>
      </c>
      <c r="E34" s="11" t="s">
        <v>43</v>
      </c>
      <c r="F34">
        <v>5</v>
      </c>
      <c r="G34" s="11" t="s">
        <v>13</v>
      </c>
      <c r="H34" s="11" t="s">
        <v>118</v>
      </c>
      <c r="I34" s="11" t="s">
        <v>123</v>
      </c>
      <c r="J34" s="11" t="s">
        <v>139</v>
      </c>
      <c r="K34" s="11" t="s">
        <v>41</v>
      </c>
      <c r="L34" s="11" t="s">
        <v>110</v>
      </c>
    </row>
    <row r="35" spans="1:12" x14ac:dyDescent="0.35">
      <c r="A35" s="11" t="s">
        <v>24</v>
      </c>
      <c r="B35" s="11" t="s">
        <v>31</v>
      </c>
      <c r="C35" s="11" t="s">
        <v>10</v>
      </c>
      <c r="D35" s="11" t="s">
        <v>42</v>
      </c>
      <c r="E35" s="11" t="s">
        <v>43</v>
      </c>
      <c r="F35">
        <v>5</v>
      </c>
      <c r="G35" s="11" t="s">
        <v>13</v>
      </c>
      <c r="H35" s="11" t="s">
        <v>118</v>
      </c>
      <c r="I35" s="11" t="s">
        <v>123</v>
      </c>
      <c r="J35" s="11" t="s">
        <v>139</v>
      </c>
      <c r="K35" s="11" t="s">
        <v>128</v>
      </c>
      <c r="L35" s="11" t="s">
        <v>110</v>
      </c>
    </row>
    <row r="36" spans="1:12" x14ac:dyDescent="0.35">
      <c r="A36" s="11" t="s">
        <v>24</v>
      </c>
      <c r="B36" s="11" t="s">
        <v>31</v>
      </c>
      <c r="C36" s="11" t="s">
        <v>10</v>
      </c>
      <c r="D36" s="11" t="s">
        <v>42</v>
      </c>
      <c r="E36" s="11" t="s">
        <v>43</v>
      </c>
      <c r="F36">
        <v>5</v>
      </c>
      <c r="G36" s="11" t="s">
        <v>13</v>
      </c>
      <c r="H36" s="11" t="s">
        <v>118</v>
      </c>
      <c r="I36" s="11" t="s">
        <v>123</v>
      </c>
      <c r="J36" s="11" t="s">
        <v>140</v>
      </c>
      <c r="K36" s="11" t="s">
        <v>41</v>
      </c>
      <c r="L36" s="11" t="s">
        <v>110</v>
      </c>
    </row>
    <row r="37" spans="1:12" x14ac:dyDescent="0.35">
      <c r="A37" s="11" t="s">
        <v>24</v>
      </c>
      <c r="B37" s="11" t="s">
        <v>31</v>
      </c>
      <c r="C37" s="11" t="s">
        <v>10</v>
      </c>
      <c r="D37" s="11" t="s">
        <v>42</v>
      </c>
      <c r="E37" s="11" t="s">
        <v>43</v>
      </c>
      <c r="F37">
        <v>5</v>
      </c>
      <c r="G37" s="11" t="s">
        <v>13</v>
      </c>
      <c r="H37" s="11" t="s">
        <v>118</v>
      </c>
      <c r="I37" s="11" t="s">
        <v>123</v>
      </c>
      <c r="J37" s="11" t="s">
        <v>140</v>
      </c>
      <c r="K37" s="11" t="s">
        <v>128</v>
      </c>
      <c r="L37" s="11" t="s">
        <v>110</v>
      </c>
    </row>
    <row r="38" spans="1:12" x14ac:dyDescent="0.35">
      <c r="A38" s="11" t="s">
        <v>24</v>
      </c>
      <c r="B38" s="11" t="s">
        <v>31</v>
      </c>
      <c r="C38" s="11" t="s">
        <v>10</v>
      </c>
      <c r="D38" s="11" t="s">
        <v>42</v>
      </c>
      <c r="E38" s="11" t="s">
        <v>43</v>
      </c>
      <c r="F38">
        <v>5</v>
      </c>
      <c r="G38" s="11" t="s">
        <v>13</v>
      </c>
      <c r="H38" s="11" t="s">
        <v>118</v>
      </c>
      <c r="I38" s="11" t="s">
        <v>97</v>
      </c>
      <c r="J38" s="11" t="s">
        <v>138</v>
      </c>
      <c r="K38" s="11" t="s">
        <v>41</v>
      </c>
      <c r="L38" s="11" t="s">
        <v>110</v>
      </c>
    </row>
    <row r="39" spans="1:12" x14ac:dyDescent="0.35">
      <c r="A39" s="11" t="s">
        <v>24</v>
      </c>
      <c r="B39" s="11" t="s">
        <v>31</v>
      </c>
      <c r="C39" s="11" t="s">
        <v>10</v>
      </c>
      <c r="D39" s="11" t="s">
        <v>42</v>
      </c>
      <c r="E39" s="11" t="s">
        <v>43</v>
      </c>
      <c r="F39">
        <v>5</v>
      </c>
      <c r="G39" s="11" t="s">
        <v>13</v>
      </c>
      <c r="H39" s="11" t="s">
        <v>118</v>
      </c>
      <c r="I39" s="11" t="s">
        <v>97</v>
      </c>
      <c r="J39" s="11" t="s">
        <v>138</v>
      </c>
      <c r="K39" s="11" t="s">
        <v>128</v>
      </c>
      <c r="L39" s="11" t="s">
        <v>110</v>
      </c>
    </row>
    <row r="40" spans="1:12" x14ac:dyDescent="0.35">
      <c r="A40" s="11" t="s">
        <v>24</v>
      </c>
      <c r="B40" s="11" t="s">
        <v>31</v>
      </c>
      <c r="C40" s="11" t="s">
        <v>10</v>
      </c>
      <c r="D40" s="11" t="s">
        <v>42</v>
      </c>
      <c r="E40" s="11" t="s">
        <v>43</v>
      </c>
      <c r="F40">
        <v>5</v>
      </c>
      <c r="G40" s="11" t="s">
        <v>13</v>
      </c>
      <c r="H40" s="11" t="s">
        <v>118</v>
      </c>
      <c r="I40" s="11" t="s">
        <v>97</v>
      </c>
      <c r="J40" s="11" t="s">
        <v>139</v>
      </c>
      <c r="K40" s="11" t="s">
        <v>41</v>
      </c>
      <c r="L40" s="11" t="s">
        <v>110</v>
      </c>
    </row>
    <row r="41" spans="1:12" x14ac:dyDescent="0.35">
      <c r="A41" s="11" t="s">
        <v>24</v>
      </c>
      <c r="B41" s="11" t="s">
        <v>31</v>
      </c>
      <c r="C41" s="11" t="s">
        <v>10</v>
      </c>
      <c r="D41" s="11" t="s">
        <v>42</v>
      </c>
      <c r="E41" s="11" t="s">
        <v>43</v>
      </c>
      <c r="F41">
        <v>5</v>
      </c>
      <c r="G41" s="11" t="s">
        <v>13</v>
      </c>
      <c r="H41" s="11" t="s">
        <v>118</v>
      </c>
      <c r="I41" s="11" t="s">
        <v>97</v>
      </c>
      <c r="J41" s="11" t="s">
        <v>139</v>
      </c>
      <c r="K41" s="11" t="s">
        <v>128</v>
      </c>
      <c r="L41" s="11" t="s">
        <v>110</v>
      </c>
    </row>
    <row r="42" spans="1:12" x14ac:dyDescent="0.35">
      <c r="A42" s="11" t="s">
        <v>24</v>
      </c>
      <c r="B42" s="11" t="s">
        <v>31</v>
      </c>
      <c r="C42" s="11" t="s">
        <v>10</v>
      </c>
      <c r="D42" s="11" t="s">
        <v>42</v>
      </c>
      <c r="E42" s="11" t="s">
        <v>43</v>
      </c>
      <c r="F42">
        <v>5</v>
      </c>
      <c r="G42" s="11" t="s">
        <v>13</v>
      </c>
      <c r="H42" s="11" t="s">
        <v>118</v>
      </c>
      <c r="I42" s="11" t="s">
        <v>97</v>
      </c>
      <c r="J42" s="11" t="s">
        <v>140</v>
      </c>
      <c r="K42" s="11" t="s">
        <v>41</v>
      </c>
      <c r="L42" s="11" t="s">
        <v>110</v>
      </c>
    </row>
    <row r="43" spans="1:12" x14ac:dyDescent="0.35">
      <c r="A43" s="11" t="s">
        <v>24</v>
      </c>
      <c r="B43" s="11" t="s">
        <v>31</v>
      </c>
      <c r="C43" s="11" t="s">
        <v>10</v>
      </c>
      <c r="D43" s="11" t="s">
        <v>42</v>
      </c>
      <c r="E43" s="11" t="s">
        <v>43</v>
      </c>
      <c r="F43">
        <v>5</v>
      </c>
      <c r="G43" s="11" t="s">
        <v>13</v>
      </c>
      <c r="H43" s="11" t="s">
        <v>118</v>
      </c>
      <c r="I43" s="11" t="s">
        <v>97</v>
      </c>
      <c r="J43" s="11" t="s">
        <v>140</v>
      </c>
      <c r="K43" s="11" t="s">
        <v>128</v>
      </c>
      <c r="L43" s="11" t="s">
        <v>110</v>
      </c>
    </row>
    <row r="44" spans="1:12" x14ac:dyDescent="0.35">
      <c r="A44" s="11" t="s">
        <v>24</v>
      </c>
      <c r="B44" s="11" t="s">
        <v>31</v>
      </c>
      <c r="C44" s="11" t="s">
        <v>10</v>
      </c>
      <c r="D44" s="11" t="s">
        <v>42</v>
      </c>
      <c r="E44" s="11" t="s">
        <v>43</v>
      </c>
      <c r="F44">
        <v>5</v>
      </c>
      <c r="G44" s="11" t="s">
        <v>13</v>
      </c>
      <c r="H44" s="11" t="s">
        <v>118</v>
      </c>
      <c r="I44" s="11" t="s">
        <v>122</v>
      </c>
      <c r="J44" s="11" t="s">
        <v>138</v>
      </c>
      <c r="K44" s="11" t="s">
        <v>41</v>
      </c>
      <c r="L44" s="11" t="s">
        <v>110</v>
      </c>
    </row>
    <row r="45" spans="1:12" x14ac:dyDescent="0.35">
      <c r="A45" s="11" t="s">
        <v>24</v>
      </c>
      <c r="B45" s="11" t="s">
        <v>31</v>
      </c>
      <c r="C45" s="11" t="s">
        <v>10</v>
      </c>
      <c r="D45" s="11" t="s">
        <v>42</v>
      </c>
      <c r="E45" s="11" t="s">
        <v>43</v>
      </c>
      <c r="F45">
        <v>5</v>
      </c>
      <c r="G45" s="11" t="s">
        <v>13</v>
      </c>
      <c r="H45" s="11" t="s">
        <v>118</v>
      </c>
      <c r="I45" s="11" t="s">
        <v>122</v>
      </c>
      <c r="J45" s="11" t="s">
        <v>138</v>
      </c>
      <c r="K45" s="11" t="s">
        <v>128</v>
      </c>
      <c r="L45" s="11" t="s">
        <v>110</v>
      </c>
    </row>
    <row r="46" spans="1:12" x14ac:dyDescent="0.35">
      <c r="A46" s="11" t="s">
        <v>24</v>
      </c>
      <c r="B46" s="11" t="s">
        <v>31</v>
      </c>
      <c r="C46" s="11" t="s">
        <v>10</v>
      </c>
      <c r="D46" s="11" t="s">
        <v>42</v>
      </c>
      <c r="E46" s="11" t="s">
        <v>43</v>
      </c>
      <c r="F46">
        <v>5</v>
      </c>
      <c r="G46" s="11" t="s">
        <v>13</v>
      </c>
      <c r="H46" s="11" t="s">
        <v>118</v>
      </c>
      <c r="I46" s="11" t="s">
        <v>122</v>
      </c>
      <c r="J46" s="11" t="s">
        <v>139</v>
      </c>
      <c r="K46" s="11" t="s">
        <v>41</v>
      </c>
      <c r="L46" s="11" t="s">
        <v>110</v>
      </c>
    </row>
    <row r="47" spans="1:12" x14ac:dyDescent="0.35">
      <c r="A47" s="11" t="s">
        <v>24</v>
      </c>
      <c r="B47" s="11" t="s">
        <v>31</v>
      </c>
      <c r="C47" s="11" t="s">
        <v>10</v>
      </c>
      <c r="D47" s="11" t="s">
        <v>42</v>
      </c>
      <c r="E47" s="11" t="s">
        <v>43</v>
      </c>
      <c r="F47">
        <v>5</v>
      </c>
      <c r="G47" s="11" t="s">
        <v>13</v>
      </c>
      <c r="H47" s="11" t="s">
        <v>118</v>
      </c>
      <c r="I47" s="11" t="s">
        <v>122</v>
      </c>
      <c r="J47" s="11" t="s">
        <v>139</v>
      </c>
      <c r="K47" s="11" t="s">
        <v>128</v>
      </c>
      <c r="L47" s="11" t="s">
        <v>110</v>
      </c>
    </row>
    <row r="48" spans="1:12" x14ac:dyDescent="0.35">
      <c r="A48" s="11" t="s">
        <v>24</v>
      </c>
      <c r="B48" s="11" t="s">
        <v>31</v>
      </c>
      <c r="C48" s="11" t="s">
        <v>10</v>
      </c>
      <c r="D48" s="11" t="s">
        <v>42</v>
      </c>
      <c r="E48" s="11" t="s">
        <v>43</v>
      </c>
      <c r="F48">
        <v>5</v>
      </c>
      <c r="G48" s="11" t="s">
        <v>13</v>
      </c>
      <c r="H48" s="11" t="s">
        <v>118</v>
      </c>
      <c r="I48" s="11" t="s">
        <v>122</v>
      </c>
      <c r="J48" s="11" t="s">
        <v>140</v>
      </c>
      <c r="K48" s="11" t="s">
        <v>41</v>
      </c>
      <c r="L48" s="11" t="s">
        <v>110</v>
      </c>
    </row>
    <row r="49" spans="1:12" x14ac:dyDescent="0.35">
      <c r="A49" s="11" t="s">
        <v>24</v>
      </c>
      <c r="B49" s="11" t="s">
        <v>31</v>
      </c>
      <c r="C49" s="11" t="s">
        <v>10</v>
      </c>
      <c r="D49" s="11" t="s">
        <v>42</v>
      </c>
      <c r="E49" s="11" t="s">
        <v>43</v>
      </c>
      <c r="F49">
        <v>5</v>
      </c>
      <c r="G49" s="11" t="s">
        <v>13</v>
      </c>
      <c r="H49" s="11" t="s">
        <v>118</v>
      </c>
      <c r="I49" s="11" t="s">
        <v>122</v>
      </c>
      <c r="J49" s="11" t="s">
        <v>140</v>
      </c>
      <c r="K49" s="11" t="s">
        <v>128</v>
      </c>
      <c r="L49" s="11" t="s">
        <v>110</v>
      </c>
    </row>
    <row r="50" spans="1:12" x14ac:dyDescent="0.35">
      <c r="A50" s="11" t="s">
        <v>24</v>
      </c>
      <c r="B50" s="11" t="s">
        <v>31</v>
      </c>
      <c r="C50" s="11" t="s">
        <v>10</v>
      </c>
      <c r="D50" s="11" t="s">
        <v>42</v>
      </c>
      <c r="E50" s="11" t="s">
        <v>43</v>
      </c>
      <c r="F50">
        <v>5</v>
      </c>
      <c r="G50" s="11" t="s">
        <v>13</v>
      </c>
      <c r="H50" s="11" t="s">
        <v>14</v>
      </c>
      <c r="I50" s="11" t="s">
        <v>123</v>
      </c>
      <c r="J50" s="11" t="s">
        <v>138</v>
      </c>
      <c r="K50" s="11" t="s">
        <v>41</v>
      </c>
      <c r="L50" s="11" t="s">
        <v>110</v>
      </c>
    </row>
    <row r="51" spans="1:12" x14ac:dyDescent="0.35">
      <c r="A51" s="11" t="s">
        <v>24</v>
      </c>
      <c r="B51" s="11" t="s">
        <v>31</v>
      </c>
      <c r="C51" s="11" t="s">
        <v>10</v>
      </c>
      <c r="D51" s="11" t="s">
        <v>42</v>
      </c>
      <c r="E51" s="11" t="s">
        <v>43</v>
      </c>
      <c r="F51">
        <v>5</v>
      </c>
      <c r="G51" s="11" t="s">
        <v>13</v>
      </c>
      <c r="H51" s="11" t="s">
        <v>14</v>
      </c>
      <c r="I51" s="11" t="s">
        <v>123</v>
      </c>
      <c r="J51" s="11" t="s">
        <v>138</v>
      </c>
      <c r="K51" s="11" t="s">
        <v>128</v>
      </c>
      <c r="L51" s="11" t="s">
        <v>110</v>
      </c>
    </row>
    <row r="52" spans="1:12" x14ac:dyDescent="0.35">
      <c r="A52" s="11" t="s">
        <v>24</v>
      </c>
      <c r="B52" s="11" t="s">
        <v>31</v>
      </c>
      <c r="C52" s="11" t="s">
        <v>10</v>
      </c>
      <c r="D52" s="11" t="s">
        <v>42</v>
      </c>
      <c r="E52" s="11" t="s">
        <v>43</v>
      </c>
      <c r="F52">
        <v>5</v>
      </c>
      <c r="G52" s="11" t="s">
        <v>13</v>
      </c>
      <c r="H52" s="11" t="s">
        <v>14</v>
      </c>
      <c r="I52" s="11" t="s">
        <v>123</v>
      </c>
      <c r="J52" s="11" t="s">
        <v>139</v>
      </c>
      <c r="K52" s="11" t="s">
        <v>41</v>
      </c>
      <c r="L52" s="11" t="s">
        <v>110</v>
      </c>
    </row>
    <row r="53" spans="1:12" x14ac:dyDescent="0.35">
      <c r="A53" s="11" t="s">
        <v>24</v>
      </c>
      <c r="B53" s="11" t="s">
        <v>31</v>
      </c>
      <c r="C53" s="11" t="s">
        <v>10</v>
      </c>
      <c r="D53" s="11" t="s">
        <v>42</v>
      </c>
      <c r="E53" s="11" t="s">
        <v>43</v>
      </c>
      <c r="F53">
        <v>5</v>
      </c>
      <c r="G53" s="11" t="s">
        <v>13</v>
      </c>
      <c r="H53" s="11" t="s">
        <v>14</v>
      </c>
      <c r="I53" s="11" t="s">
        <v>123</v>
      </c>
      <c r="J53" s="11" t="s">
        <v>139</v>
      </c>
      <c r="K53" s="11" t="s">
        <v>128</v>
      </c>
      <c r="L53" s="11" t="s">
        <v>110</v>
      </c>
    </row>
    <row r="54" spans="1:12" x14ac:dyDescent="0.35">
      <c r="A54" s="11" t="s">
        <v>24</v>
      </c>
      <c r="B54" s="11" t="s">
        <v>31</v>
      </c>
      <c r="C54" s="11" t="s">
        <v>10</v>
      </c>
      <c r="D54" s="11" t="s">
        <v>42</v>
      </c>
      <c r="E54" s="11" t="s">
        <v>43</v>
      </c>
      <c r="F54">
        <v>5</v>
      </c>
      <c r="G54" s="11" t="s">
        <v>13</v>
      </c>
      <c r="H54" s="11" t="s">
        <v>14</v>
      </c>
      <c r="I54" s="11" t="s">
        <v>123</v>
      </c>
      <c r="J54" s="11" t="s">
        <v>140</v>
      </c>
      <c r="K54" s="11" t="s">
        <v>41</v>
      </c>
      <c r="L54" s="11" t="s">
        <v>110</v>
      </c>
    </row>
    <row r="55" spans="1:12" x14ac:dyDescent="0.35">
      <c r="A55" s="11" t="s">
        <v>24</v>
      </c>
      <c r="B55" s="11" t="s">
        <v>31</v>
      </c>
      <c r="C55" s="11" t="s">
        <v>10</v>
      </c>
      <c r="D55" s="11" t="s">
        <v>42</v>
      </c>
      <c r="E55" s="11" t="s">
        <v>43</v>
      </c>
      <c r="F55">
        <v>5</v>
      </c>
      <c r="G55" s="11" t="s">
        <v>13</v>
      </c>
      <c r="H55" s="11" t="s">
        <v>14</v>
      </c>
      <c r="I55" s="11" t="s">
        <v>123</v>
      </c>
      <c r="J55" s="11" t="s">
        <v>140</v>
      </c>
      <c r="K55" s="11" t="s">
        <v>128</v>
      </c>
      <c r="L55" s="11" t="s">
        <v>110</v>
      </c>
    </row>
    <row r="56" spans="1:12" x14ac:dyDescent="0.35">
      <c r="A56" s="11" t="s">
        <v>24</v>
      </c>
      <c r="B56" s="11" t="s">
        <v>31</v>
      </c>
      <c r="C56" s="11" t="s">
        <v>10</v>
      </c>
      <c r="D56" s="11" t="s">
        <v>42</v>
      </c>
      <c r="E56" s="11" t="s">
        <v>43</v>
      </c>
      <c r="F56">
        <v>5</v>
      </c>
      <c r="G56" s="11" t="s">
        <v>13</v>
      </c>
      <c r="H56" s="11" t="s">
        <v>14</v>
      </c>
      <c r="I56" s="11" t="s">
        <v>97</v>
      </c>
      <c r="J56" s="11" t="s">
        <v>138</v>
      </c>
      <c r="K56" s="11" t="s">
        <v>41</v>
      </c>
      <c r="L56" s="11" t="s">
        <v>110</v>
      </c>
    </row>
    <row r="57" spans="1:12" x14ac:dyDescent="0.35">
      <c r="A57" s="11" t="s">
        <v>24</v>
      </c>
      <c r="B57" s="11" t="s">
        <v>31</v>
      </c>
      <c r="C57" s="11" t="s">
        <v>10</v>
      </c>
      <c r="D57" s="11" t="s">
        <v>42</v>
      </c>
      <c r="E57" s="11" t="s">
        <v>43</v>
      </c>
      <c r="F57">
        <v>5</v>
      </c>
      <c r="G57" s="11" t="s">
        <v>13</v>
      </c>
      <c r="H57" s="11" t="s">
        <v>14</v>
      </c>
      <c r="I57" s="11" t="s">
        <v>97</v>
      </c>
      <c r="J57" s="11" t="s">
        <v>138</v>
      </c>
      <c r="K57" s="11" t="s">
        <v>128</v>
      </c>
      <c r="L57" s="11" t="s">
        <v>110</v>
      </c>
    </row>
    <row r="58" spans="1:12" x14ac:dyDescent="0.35">
      <c r="A58" s="11" t="s">
        <v>24</v>
      </c>
      <c r="B58" s="11" t="s">
        <v>31</v>
      </c>
      <c r="C58" s="11" t="s">
        <v>10</v>
      </c>
      <c r="D58" s="11" t="s">
        <v>42</v>
      </c>
      <c r="E58" s="11" t="s">
        <v>43</v>
      </c>
      <c r="F58">
        <v>5</v>
      </c>
      <c r="G58" s="11" t="s">
        <v>13</v>
      </c>
      <c r="H58" s="11" t="s">
        <v>14</v>
      </c>
      <c r="I58" s="11" t="s">
        <v>97</v>
      </c>
      <c r="J58" s="11" t="s">
        <v>139</v>
      </c>
      <c r="K58" s="11" t="s">
        <v>41</v>
      </c>
      <c r="L58" s="11" t="s">
        <v>110</v>
      </c>
    </row>
    <row r="59" spans="1:12" x14ac:dyDescent="0.35">
      <c r="A59" s="11" t="s">
        <v>24</v>
      </c>
      <c r="B59" s="11" t="s">
        <v>31</v>
      </c>
      <c r="C59" s="11" t="s">
        <v>10</v>
      </c>
      <c r="D59" s="11" t="s">
        <v>42</v>
      </c>
      <c r="E59" s="11" t="s">
        <v>43</v>
      </c>
      <c r="F59">
        <v>5</v>
      </c>
      <c r="G59" s="11" t="s">
        <v>13</v>
      </c>
      <c r="H59" s="11" t="s">
        <v>14</v>
      </c>
      <c r="I59" s="11" t="s">
        <v>97</v>
      </c>
      <c r="J59" s="11" t="s">
        <v>139</v>
      </c>
      <c r="K59" s="11" t="s">
        <v>128</v>
      </c>
      <c r="L59" s="11" t="s">
        <v>110</v>
      </c>
    </row>
    <row r="60" spans="1:12" x14ac:dyDescent="0.35">
      <c r="A60" s="11" t="s">
        <v>24</v>
      </c>
      <c r="B60" s="11" t="s">
        <v>31</v>
      </c>
      <c r="C60" s="11" t="s">
        <v>10</v>
      </c>
      <c r="D60" s="11" t="s">
        <v>42</v>
      </c>
      <c r="E60" s="11" t="s">
        <v>43</v>
      </c>
      <c r="F60">
        <v>5</v>
      </c>
      <c r="G60" s="11" t="s">
        <v>13</v>
      </c>
      <c r="H60" s="11" t="s">
        <v>14</v>
      </c>
      <c r="I60" s="11" t="s">
        <v>97</v>
      </c>
      <c r="J60" s="11" t="s">
        <v>140</v>
      </c>
      <c r="K60" s="11" t="s">
        <v>41</v>
      </c>
      <c r="L60" s="11" t="s">
        <v>110</v>
      </c>
    </row>
    <row r="61" spans="1:12" x14ac:dyDescent="0.35">
      <c r="A61" s="11" t="s">
        <v>24</v>
      </c>
      <c r="B61" s="11" t="s">
        <v>31</v>
      </c>
      <c r="C61" s="11" t="s">
        <v>10</v>
      </c>
      <c r="D61" s="11" t="s">
        <v>42</v>
      </c>
      <c r="E61" s="11" t="s">
        <v>43</v>
      </c>
      <c r="F61">
        <v>5</v>
      </c>
      <c r="G61" s="11" t="s">
        <v>13</v>
      </c>
      <c r="H61" s="11" t="s">
        <v>14</v>
      </c>
      <c r="I61" s="11" t="s">
        <v>97</v>
      </c>
      <c r="J61" s="11" t="s">
        <v>140</v>
      </c>
      <c r="K61" s="11" t="s">
        <v>128</v>
      </c>
      <c r="L61" s="11" t="s">
        <v>110</v>
      </c>
    </row>
    <row r="62" spans="1:12" x14ac:dyDescent="0.35">
      <c r="A62" s="11" t="s">
        <v>24</v>
      </c>
      <c r="B62" s="11" t="s">
        <v>31</v>
      </c>
      <c r="C62" s="11" t="s">
        <v>10</v>
      </c>
      <c r="D62" s="11" t="s">
        <v>42</v>
      </c>
      <c r="E62" s="11" t="s">
        <v>43</v>
      </c>
      <c r="F62">
        <v>5</v>
      </c>
      <c r="G62" s="11" t="s">
        <v>13</v>
      </c>
      <c r="H62" s="11" t="s">
        <v>14</v>
      </c>
      <c r="I62" s="11" t="s">
        <v>122</v>
      </c>
      <c r="J62" s="11" t="s">
        <v>138</v>
      </c>
      <c r="K62" s="11" t="s">
        <v>41</v>
      </c>
      <c r="L62" s="11" t="s">
        <v>110</v>
      </c>
    </row>
    <row r="63" spans="1:12" x14ac:dyDescent="0.35">
      <c r="A63" s="11" t="s">
        <v>24</v>
      </c>
      <c r="B63" s="11" t="s">
        <v>31</v>
      </c>
      <c r="C63" s="11" t="s">
        <v>10</v>
      </c>
      <c r="D63" s="11" t="s">
        <v>42</v>
      </c>
      <c r="E63" s="11" t="s">
        <v>43</v>
      </c>
      <c r="F63">
        <v>5</v>
      </c>
      <c r="G63" s="11" t="s">
        <v>13</v>
      </c>
      <c r="H63" s="11" t="s">
        <v>14</v>
      </c>
      <c r="I63" s="11" t="s">
        <v>122</v>
      </c>
      <c r="J63" s="11" t="s">
        <v>138</v>
      </c>
      <c r="K63" s="11" t="s">
        <v>128</v>
      </c>
      <c r="L63" s="11" t="s">
        <v>110</v>
      </c>
    </row>
    <row r="64" spans="1:12" x14ac:dyDescent="0.35">
      <c r="A64" s="11" t="s">
        <v>24</v>
      </c>
      <c r="B64" s="11" t="s">
        <v>31</v>
      </c>
      <c r="C64" s="11" t="s">
        <v>10</v>
      </c>
      <c r="D64" s="11" t="s">
        <v>42</v>
      </c>
      <c r="E64" s="11" t="s">
        <v>43</v>
      </c>
      <c r="F64">
        <v>5</v>
      </c>
      <c r="G64" s="11" t="s">
        <v>13</v>
      </c>
      <c r="H64" s="11" t="s">
        <v>14</v>
      </c>
      <c r="I64" s="11" t="s">
        <v>122</v>
      </c>
      <c r="J64" s="11" t="s">
        <v>139</v>
      </c>
      <c r="K64" s="11" t="s">
        <v>41</v>
      </c>
      <c r="L64" s="11" t="s">
        <v>110</v>
      </c>
    </row>
    <row r="65" spans="1:12" x14ac:dyDescent="0.35">
      <c r="A65" s="11" t="s">
        <v>24</v>
      </c>
      <c r="B65" s="11" t="s">
        <v>31</v>
      </c>
      <c r="C65" s="11" t="s">
        <v>10</v>
      </c>
      <c r="D65" s="11" t="s">
        <v>42</v>
      </c>
      <c r="E65" s="11" t="s">
        <v>43</v>
      </c>
      <c r="F65">
        <v>5</v>
      </c>
      <c r="G65" s="11" t="s">
        <v>13</v>
      </c>
      <c r="H65" s="11" t="s">
        <v>14</v>
      </c>
      <c r="I65" s="11" t="s">
        <v>122</v>
      </c>
      <c r="J65" s="11" t="s">
        <v>139</v>
      </c>
      <c r="K65" s="11" t="s">
        <v>128</v>
      </c>
      <c r="L65" s="11" t="s">
        <v>110</v>
      </c>
    </row>
    <row r="66" spans="1:12" x14ac:dyDescent="0.35">
      <c r="A66" s="11" t="s">
        <v>24</v>
      </c>
      <c r="B66" s="11" t="s">
        <v>31</v>
      </c>
      <c r="C66" s="11" t="s">
        <v>10</v>
      </c>
      <c r="D66" s="11" t="s">
        <v>42</v>
      </c>
      <c r="E66" s="11" t="s">
        <v>43</v>
      </c>
      <c r="F66">
        <v>5</v>
      </c>
      <c r="G66" s="11" t="s">
        <v>13</v>
      </c>
      <c r="H66" s="11" t="s">
        <v>14</v>
      </c>
      <c r="I66" s="11" t="s">
        <v>122</v>
      </c>
      <c r="J66" s="11" t="s">
        <v>140</v>
      </c>
      <c r="K66" s="11" t="s">
        <v>41</v>
      </c>
      <c r="L66" s="11" t="s">
        <v>110</v>
      </c>
    </row>
    <row r="67" spans="1:12" x14ac:dyDescent="0.35">
      <c r="A67" s="11" t="s">
        <v>24</v>
      </c>
      <c r="B67" s="11" t="s">
        <v>31</v>
      </c>
      <c r="C67" s="11" t="s">
        <v>10</v>
      </c>
      <c r="D67" s="11" t="s">
        <v>42</v>
      </c>
      <c r="E67" s="11" t="s">
        <v>43</v>
      </c>
      <c r="F67">
        <v>5</v>
      </c>
      <c r="G67" s="11" t="s">
        <v>13</v>
      </c>
      <c r="H67" s="11" t="s">
        <v>14</v>
      </c>
      <c r="I67" s="11" t="s">
        <v>122</v>
      </c>
      <c r="J67" s="11" t="s">
        <v>140</v>
      </c>
      <c r="K67" s="11" t="s">
        <v>128</v>
      </c>
      <c r="L67" s="11" t="s">
        <v>110</v>
      </c>
    </row>
    <row r="68" spans="1:12" x14ac:dyDescent="0.35">
      <c r="A68" s="11" t="s">
        <v>26</v>
      </c>
      <c r="B68" s="11" t="s">
        <v>32</v>
      </c>
      <c r="C68" s="11" t="s">
        <v>79</v>
      </c>
      <c r="D68" s="11" t="s">
        <v>52</v>
      </c>
      <c r="E68" s="11" t="s">
        <v>53</v>
      </c>
      <c r="F68">
        <v>5</v>
      </c>
      <c r="G68" s="11" t="s">
        <v>13</v>
      </c>
      <c r="H68" s="11" t="s">
        <v>54</v>
      </c>
      <c r="I68" s="11" t="s">
        <v>124</v>
      </c>
      <c r="J68" s="11" t="s">
        <v>141</v>
      </c>
      <c r="K68" s="11" t="s">
        <v>56</v>
      </c>
      <c r="L68" s="11" t="s">
        <v>111</v>
      </c>
    </row>
    <row r="69" spans="1:12" x14ac:dyDescent="0.35">
      <c r="A69" s="11" t="s">
        <v>26</v>
      </c>
      <c r="B69" s="11" t="s">
        <v>32</v>
      </c>
      <c r="C69" s="11" t="s">
        <v>79</v>
      </c>
      <c r="D69" s="11" t="s">
        <v>52</v>
      </c>
      <c r="E69" s="11" t="s">
        <v>53</v>
      </c>
      <c r="F69">
        <v>5</v>
      </c>
      <c r="G69" s="11" t="s">
        <v>13</v>
      </c>
      <c r="H69" s="11" t="s">
        <v>54</v>
      </c>
      <c r="I69" s="11" t="s">
        <v>124</v>
      </c>
      <c r="J69" s="11" t="s">
        <v>142</v>
      </c>
      <c r="K69" s="11" t="s">
        <v>56</v>
      </c>
      <c r="L69" s="11" t="s">
        <v>111</v>
      </c>
    </row>
    <row r="70" spans="1:12" x14ac:dyDescent="0.35">
      <c r="A70" s="11" t="s">
        <v>26</v>
      </c>
      <c r="B70" s="11" t="s">
        <v>32</v>
      </c>
      <c r="C70" s="11" t="s">
        <v>79</v>
      </c>
      <c r="D70" s="11" t="s">
        <v>52</v>
      </c>
      <c r="E70" s="11" t="s">
        <v>53</v>
      </c>
      <c r="F70">
        <v>5</v>
      </c>
      <c r="G70" s="11" t="s">
        <v>13</v>
      </c>
      <c r="H70" s="11" t="s">
        <v>54</v>
      </c>
      <c r="I70" s="11" t="s">
        <v>120</v>
      </c>
      <c r="J70" s="11" t="s">
        <v>141</v>
      </c>
      <c r="K70" s="11" t="s">
        <v>56</v>
      </c>
      <c r="L70" s="11" t="s">
        <v>111</v>
      </c>
    </row>
    <row r="71" spans="1:12" x14ac:dyDescent="0.35">
      <c r="A71" s="11" t="s">
        <v>26</v>
      </c>
      <c r="B71" s="11" t="s">
        <v>32</v>
      </c>
      <c r="C71" s="11" t="s">
        <v>79</v>
      </c>
      <c r="D71" s="11" t="s">
        <v>52</v>
      </c>
      <c r="E71" s="11" t="s">
        <v>53</v>
      </c>
      <c r="F71">
        <v>5</v>
      </c>
      <c r="G71" s="11" t="s">
        <v>13</v>
      </c>
      <c r="H71" s="11" t="s">
        <v>54</v>
      </c>
      <c r="I71" s="11" t="s">
        <v>120</v>
      </c>
      <c r="J71" s="11" t="s">
        <v>142</v>
      </c>
      <c r="K71" s="11" t="s">
        <v>56</v>
      </c>
      <c r="L71" s="11" t="s">
        <v>111</v>
      </c>
    </row>
    <row r="72" spans="1:12" x14ac:dyDescent="0.35">
      <c r="A72" s="11" t="s">
        <v>26</v>
      </c>
      <c r="B72" s="11" t="s">
        <v>32</v>
      </c>
      <c r="C72" s="11" t="s">
        <v>79</v>
      </c>
      <c r="D72" s="11" t="s">
        <v>52</v>
      </c>
      <c r="E72" s="11" t="s">
        <v>53</v>
      </c>
      <c r="F72">
        <v>5</v>
      </c>
      <c r="G72" s="11" t="s">
        <v>13</v>
      </c>
      <c r="H72" s="11" t="s">
        <v>54</v>
      </c>
      <c r="I72" s="11" t="s">
        <v>122</v>
      </c>
      <c r="J72" s="11" t="s">
        <v>141</v>
      </c>
      <c r="K72" s="11" t="s">
        <v>56</v>
      </c>
      <c r="L72" s="11" t="s">
        <v>111</v>
      </c>
    </row>
    <row r="73" spans="1:12" x14ac:dyDescent="0.35">
      <c r="A73" s="11" t="s">
        <v>26</v>
      </c>
      <c r="B73" s="11" t="s">
        <v>32</v>
      </c>
      <c r="C73" s="11" t="s">
        <v>79</v>
      </c>
      <c r="D73" s="11" t="s">
        <v>52</v>
      </c>
      <c r="E73" s="11" t="s">
        <v>53</v>
      </c>
      <c r="F73">
        <v>5</v>
      </c>
      <c r="G73" s="11" t="s">
        <v>13</v>
      </c>
      <c r="H73" s="11" t="s">
        <v>54</v>
      </c>
      <c r="I73" s="11" t="s">
        <v>122</v>
      </c>
      <c r="J73" s="11" t="s">
        <v>142</v>
      </c>
      <c r="K73" s="11" t="s">
        <v>56</v>
      </c>
      <c r="L73" s="11" t="s">
        <v>111</v>
      </c>
    </row>
    <row r="74" spans="1:12" x14ac:dyDescent="0.35">
      <c r="A74" s="11" t="s">
        <v>28</v>
      </c>
      <c r="B74" s="11" t="s">
        <v>106</v>
      </c>
      <c r="C74" s="11" t="s">
        <v>10</v>
      </c>
      <c r="D74" s="11" t="s">
        <v>70</v>
      </c>
      <c r="E74" s="11" t="s">
        <v>71</v>
      </c>
      <c r="F74">
        <v>4</v>
      </c>
      <c r="G74" s="11" t="s">
        <v>13</v>
      </c>
      <c r="H74" s="11" t="s">
        <v>118</v>
      </c>
      <c r="I74" s="11" t="s">
        <v>97</v>
      </c>
      <c r="J74" s="11" t="s">
        <v>72</v>
      </c>
      <c r="K74" s="11" t="s">
        <v>41</v>
      </c>
      <c r="L74" s="11" t="s">
        <v>112</v>
      </c>
    </row>
    <row r="75" spans="1:12" x14ac:dyDescent="0.35">
      <c r="A75" s="11" t="s">
        <v>28</v>
      </c>
      <c r="B75" s="11" t="s">
        <v>106</v>
      </c>
      <c r="C75" s="11" t="s">
        <v>10</v>
      </c>
      <c r="D75" s="11" t="s">
        <v>70</v>
      </c>
      <c r="E75" s="11" t="s">
        <v>71</v>
      </c>
      <c r="F75">
        <v>4</v>
      </c>
      <c r="G75" s="11" t="s">
        <v>13</v>
      </c>
      <c r="H75" s="11" t="s">
        <v>118</v>
      </c>
      <c r="I75" s="11" t="s">
        <v>122</v>
      </c>
      <c r="J75" s="11" t="s">
        <v>72</v>
      </c>
      <c r="K75" s="11" t="s">
        <v>41</v>
      </c>
      <c r="L75" s="11" t="s">
        <v>112</v>
      </c>
    </row>
    <row r="76" spans="1:12" x14ac:dyDescent="0.35">
      <c r="A76" s="11" t="s">
        <v>28</v>
      </c>
      <c r="B76" s="11" t="s">
        <v>106</v>
      </c>
      <c r="C76" s="11" t="s">
        <v>10</v>
      </c>
      <c r="D76" s="11" t="s">
        <v>70</v>
      </c>
      <c r="E76" s="11" t="s">
        <v>71</v>
      </c>
      <c r="F76">
        <v>4</v>
      </c>
      <c r="G76" s="11" t="s">
        <v>13</v>
      </c>
      <c r="H76" s="11" t="s">
        <v>14</v>
      </c>
      <c r="I76" s="11" t="s">
        <v>97</v>
      </c>
      <c r="J76" s="11" t="s">
        <v>72</v>
      </c>
      <c r="K76" s="11" t="s">
        <v>41</v>
      </c>
      <c r="L76" s="11" t="s">
        <v>112</v>
      </c>
    </row>
    <row r="77" spans="1:12" x14ac:dyDescent="0.35">
      <c r="A77" s="11" t="s">
        <v>28</v>
      </c>
      <c r="B77" s="11" t="s">
        <v>106</v>
      </c>
      <c r="C77" s="11" t="s">
        <v>10</v>
      </c>
      <c r="D77" s="11" t="s">
        <v>70</v>
      </c>
      <c r="E77" s="11" t="s">
        <v>71</v>
      </c>
      <c r="F77">
        <v>4</v>
      </c>
      <c r="G77" s="11" t="s">
        <v>13</v>
      </c>
      <c r="H77" s="11" t="s">
        <v>14</v>
      </c>
      <c r="I77" s="11" t="s">
        <v>122</v>
      </c>
      <c r="J77" s="11" t="s">
        <v>72</v>
      </c>
      <c r="K77" s="11" t="s">
        <v>41</v>
      </c>
      <c r="L77" s="11" t="s">
        <v>112</v>
      </c>
    </row>
    <row r="78" spans="1:12" x14ac:dyDescent="0.35">
      <c r="A78" s="11" t="s">
        <v>33</v>
      </c>
      <c r="B78" s="11" t="s">
        <v>29</v>
      </c>
      <c r="C78" s="11" t="s">
        <v>27</v>
      </c>
      <c r="D78" s="11" t="s">
        <v>47</v>
      </c>
      <c r="E78" s="11" t="s">
        <v>48</v>
      </c>
      <c r="F78">
        <v>4</v>
      </c>
      <c r="G78" s="11" t="s">
        <v>13</v>
      </c>
      <c r="H78" s="11" t="s">
        <v>118</v>
      </c>
      <c r="I78" s="11" t="s">
        <v>125</v>
      </c>
      <c r="J78" s="11" t="s">
        <v>50</v>
      </c>
      <c r="K78" s="11" t="s">
        <v>51</v>
      </c>
      <c r="L78" s="11" t="s">
        <v>113</v>
      </c>
    </row>
    <row r="79" spans="1:12" x14ac:dyDescent="0.35">
      <c r="A79" s="11" t="s">
        <v>33</v>
      </c>
      <c r="B79" s="11" t="s">
        <v>29</v>
      </c>
      <c r="C79" s="11" t="s">
        <v>27</v>
      </c>
      <c r="D79" s="11" t="s">
        <v>47</v>
      </c>
      <c r="E79" s="11" t="s">
        <v>48</v>
      </c>
      <c r="F79">
        <v>4</v>
      </c>
      <c r="G79" s="11" t="s">
        <v>13</v>
      </c>
      <c r="H79" s="11" t="s">
        <v>118</v>
      </c>
      <c r="I79" s="11" t="s">
        <v>121</v>
      </c>
      <c r="J79" s="11" t="s">
        <v>50</v>
      </c>
      <c r="K79" s="11" t="s">
        <v>51</v>
      </c>
      <c r="L79" s="11" t="s">
        <v>113</v>
      </c>
    </row>
    <row r="80" spans="1:12" x14ac:dyDescent="0.35">
      <c r="A80" s="11" t="s">
        <v>33</v>
      </c>
      <c r="B80" s="11" t="s">
        <v>29</v>
      </c>
      <c r="C80" s="11" t="s">
        <v>27</v>
      </c>
      <c r="D80" s="11" t="s">
        <v>47</v>
      </c>
      <c r="E80" s="11" t="s">
        <v>48</v>
      </c>
      <c r="F80">
        <v>4</v>
      </c>
      <c r="G80" s="11" t="s">
        <v>13</v>
      </c>
      <c r="H80" s="11" t="s">
        <v>118</v>
      </c>
      <c r="I80" s="11" t="s">
        <v>123</v>
      </c>
      <c r="J80" s="11" t="s">
        <v>50</v>
      </c>
      <c r="K80" s="11" t="s">
        <v>51</v>
      </c>
      <c r="L80" s="11" t="s">
        <v>113</v>
      </c>
    </row>
    <row r="81" spans="1:12" x14ac:dyDescent="0.35">
      <c r="A81" s="11" t="s">
        <v>33</v>
      </c>
      <c r="B81" s="11" t="s">
        <v>29</v>
      </c>
      <c r="C81" s="11" t="s">
        <v>27</v>
      </c>
      <c r="D81" s="11" t="s">
        <v>47</v>
      </c>
      <c r="E81" s="11" t="s">
        <v>48</v>
      </c>
      <c r="F81">
        <v>4</v>
      </c>
      <c r="G81" s="11" t="s">
        <v>13</v>
      </c>
      <c r="H81" s="11" t="s">
        <v>14</v>
      </c>
      <c r="I81" s="11" t="s">
        <v>125</v>
      </c>
      <c r="J81" s="11" t="s">
        <v>50</v>
      </c>
      <c r="K81" s="11" t="s">
        <v>51</v>
      </c>
      <c r="L81" s="11" t="s">
        <v>113</v>
      </c>
    </row>
    <row r="82" spans="1:12" x14ac:dyDescent="0.35">
      <c r="A82" s="11" t="s">
        <v>33</v>
      </c>
      <c r="B82" s="11" t="s">
        <v>29</v>
      </c>
      <c r="C82" s="11" t="s">
        <v>27</v>
      </c>
      <c r="D82" s="11" t="s">
        <v>47</v>
      </c>
      <c r="E82" s="11" t="s">
        <v>48</v>
      </c>
      <c r="F82">
        <v>4</v>
      </c>
      <c r="G82" s="11" t="s">
        <v>13</v>
      </c>
      <c r="H82" s="11" t="s">
        <v>14</v>
      </c>
      <c r="I82" s="11" t="s">
        <v>121</v>
      </c>
      <c r="J82" s="11" t="s">
        <v>50</v>
      </c>
      <c r="K82" s="11" t="s">
        <v>51</v>
      </c>
      <c r="L82" s="11" t="s">
        <v>113</v>
      </c>
    </row>
    <row r="83" spans="1:12" x14ac:dyDescent="0.35">
      <c r="A83" s="11" t="s">
        <v>33</v>
      </c>
      <c r="B83" s="11" t="s">
        <v>29</v>
      </c>
      <c r="C83" s="11" t="s">
        <v>27</v>
      </c>
      <c r="D83" s="11" t="s">
        <v>47</v>
      </c>
      <c r="E83" s="11" t="s">
        <v>48</v>
      </c>
      <c r="F83">
        <v>4</v>
      </c>
      <c r="G83" s="11" t="s">
        <v>13</v>
      </c>
      <c r="H83" s="11" t="s">
        <v>14</v>
      </c>
      <c r="I83" s="11" t="s">
        <v>123</v>
      </c>
      <c r="J83" s="11" t="s">
        <v>50</v>
      </c>
      <c r="K83" s="11" t="s">
        <v>51</v>
      </c>
      <c r="L83" s="11" t="s">
        <v>113</v>
      </c>
    </row>
    <row r="84" spans="1:12" x14ac:dyDescent="0.35">
      <c r="A84" s="11" t="s">
        <v>34</v>
      </c>
      <c r="B84" s="11" t="s">
        <v>30</v>
      </c>
      <c r="C84" s="11" t="s">
        <v>57</v>
      </c>
      <c r="D84" s="11" t="s">
        <v>58</v>
      </c>
      <c r="E84" s="11" t="s">
        <v>59</v>
      </c>
      <c r="F84">
        <v>4</v>
      </c>
      <c r="G84" s="11" t="s">
        <v>60</v>
      </c>
      <c r="H84" s="11" t="s">
        <v>14</v>
      </c>
      <c r="I84" s="11" t="s">
        <v>121</v>
      </c>
      <c r="J84" s="11" t="s">
        <v>143</v>
      </c>
      <c r="K84" s="11" t="s">
        <v>63</v>
      </c>
      <c r="L84" s="11" t="s">
        <v>111</v>
      </c>
    </row>
    <row r="85" spans="1:12" x14ac:dyDescent="0.35">
      <c r="A85" s="11" t="s">
        <v>34</v>
      </c>
      <c r="B85" s="11" t="s">
        <v>30</v>
      </c>
      <c r="C85" s="11" t="s">
        <v>57</v>
      </c>
      <c r="D85" s="11" t="s">
        <v>58</v>
      </c>
      <c r="E85" s="11" t="s">
        <v>59</v>
      </c>
      <c r="F85">
        <v>4</v>
      </c>
      <c r="G85" s="11" t="s">
        <v>60</v>
      </c>
      <c r="H85" s="11" t="s">
        <v>14</v>
      </c>
      <c r="I85" s="11" t="s">
        <v>121</v>
      </c>
      <c r="J85" s="11" t="s">
        <v>144</v>
      </c>
      <c r="K85" s="11" t="s">
        <v>63</v>
      </c>
      <c r="L85" s="11" t="s">
        <v>111</v>
      </c>
    </row>
    <row r="86" spans="1:12" x14ac:dyDescent="0.35">
      <c r="A86" s="11" t="s">
        <v>34</v>
      </c>
      <c r="B86" s="11" t="s">
        <v>30</v>
      </c>
      <c r="C86" s="11" t="s">
        <v>57</v>
      </c>
      <c r="D86" s="11" t="s">
        <v>58</v>
      </c>
      <c r="E86" s="11" t="s">
        <v>59</v>
      </c>
      <c r="F86">
        <v>4</v>
      </c>
      <c r="G86" s="11" t="s">
        <v>60</v>
      </c>
      <c r="H86" s="11" t="s">
        <v>14</v>
      </c>
      <c r="I86" s="11" t="s">
        <v>120</v>
      </c>
      <c r="J86" s="11" t="s">
        <v>143</v>
      </c>
      <c r="K86" s="11" t="s">
        <v>63</v>
      </c>
      <c r="L86" s="11" t="s">
        <v>111</v>
      </c>
    </row>
    <row r="87" spans="1:12" x14ac:dyDescent="0.35">
      <c r="A87" s="11" t="s">
        <v>34</v>
      </c>
      <c r="B87" s="11" t="s">
        <v>30</v>
      </c>
      <c r="C87" s="11" t="s">
        <v>57</v>
      </c>
      <c r="D87" s="11" t="s">
        <v>58</v>
      </c>
      <c r="E87" s="11" t="s">
        <v>59</v>
      </c>
      <c r="F87">
        <v>4</v>
      </c>
      <c r="G87" s="11" t="s">
        <v>60</v>
      </c>
      <c r="H87" s="11" t="s">
        <v>14</v>
      </c>
      <c r="I87" s="11" t="s">
        <v>120</v>
      </c>
      <c r="J87" s="11" t="s">
        <v>144</v>
      </c>
      <c r="K87" s="11" t="s">
        <v>63</v>
      </c>
      <c r="L87" s="11" t="s">
        <v>111</v>
      </c>
    </row>
    <row r="88" spans="1:12" x14ac:dyDescent="0.35">
      <c r="A88" s="11" t="s">
        <v>35</v>
      </c>
      <c r="B88" s="11" t="s">
        <v>25</v>
      </c>
      <c r="C88" s="11" t="s">
        <v>20</v>
      </c>
      <c r="D88" s="11" t="s">
        <v>64</v>
      </c>
      <c r="E88" s="11" t="s">
        <v>65</v>
      </c>
      <c r="F88">
        <v>4</v>
      </c>
      <c r="G88" s="11" t="s">
        <v>60</v>
      </c>
      <c r="H88" s="11" t="s">
        <v>119</v>
      </c>
      <c r="I88" s="11" t="s">
        <v>126</v>
      </c>
      <c r="J88" s="11" t="s">
        <v>145</v>
      </c>
      <c r="K88" s="11" t="s">
        <v>69</v>
      </c>
      <c r="L88" s="11" t="s">
        <v>113</v>
      </c>
    </row>
    <row r="89" spans="1:12" x14ac:dyDescent="0.35">
      <c r="A89" s="11" t="s">
        <v>35</v>
      </c>
      <c r="B89" s="11" t="s">
        <v>25</v>
      </c>
      <c r="C89" s="11" t="s">
        <v>20</v>
      </c>
      <c r="D89" s="11" t="s">
        <v>64</v>
      </c>
      <c r="E89" s="11" t="s">
        <v>65</v>
      </c>
      <c r="F89">
        <v>4</v>
      </c>
      <c r="G89" s="11" t="s">
        <v>60</v>
      </c>
      <c r="H89" s="11" t="s">
        <v>119</v>
      </c>
      <c r="I89" s="11" t="s">
        <v>126</v>
      </c>
      <c r="J89" s="11" t="s">
        <v>146</v>
      </c>
      <c r="K89" s="11" t="s">
        <v>69</v>
      </c>
      <c r="L89" s="11" t="s">
        <v>113</v>
      </c>
    </row>
    <row r="90" spans="1:12" x14ac:dyDescent="0.35">
      <c r="A90" s="11" t="s">
        <v>35</v>
      </c>
      <c r="B90" s="11" t="s">
        <v>25</v>
      </c>
      <c r="C90" s="11" t="s">
        <v>20</v>
      </c>
      <c r="D90" s="11" t="s">
        <v>64</v>
      </c>
      <c r="E90" s="11" t="s">
        <v>65</v>
      </c>
      <c r="F90">
        <v>4</v>
      </c>
      <c r="G90" s="11" t="s">
        <v>60</v>
      </c>
      <c r="H90" s="11" t="s">
        <v>119</v>
      </c>
      <c r="I90" s="11" t="s">
        <v>124</v>
      </c>
      <c r="J90" s="11" t="s">
        <v>145</v>
      </c>
      <c r="K90" s="11" t="s">
        <v>69</v>
      </c>
      <c r="L90" s="11" t="s">
        <v>113</v>
      </c>
    </row>
    <row r="91" spans="1:12" x14ac:dyDescent="0.35">
      <c r="A91" s="11" t="s">
        <v>35</v>
      </c>
      <c r="B91" s="11" t="s">
        <v>25</v>
      </c>
      <c r="C91" s="11" t="s">
        <v>20</v>
      </c>
      <c r="D91" s="11" t="s">
        <v>64</v>
      </c>
      <c r="E91" s="11" t="s">
        <v>65</v>
      </c>
      <c r="F91">
        <v>4</v>
      </c>
      <c r="G91" s="11" t="s">
        <v>60</v>
      </c>
      <c r="H91" s="11" t="s">
        <v>119</v>
      </c>
      <c r="I91" s="11" t="s">
        <v>124</v>
      </c>
      <c r="J91" s="11" t="s">
        <v>146</v>
      </c>
      <c r="K91" s="11" t="s">
        <v>69</v>
      </c>
      <c r="L91" s="11" t="s">
        <v>113</v>
      </c>
    </row>
    <row r="92" spans="1:12" x14ac:dyDescent="0.35">
      <c r="A92" s="11" t="s">
        <v>35</v>
      </c>
      <c r="B92" s="11" t="s">
        <v>25</v>
      </c>
      <c r="C92" s="11" t="s">
        <v>20</v>
      </c>
      <c r="D92" s="11" t="s">
        <v>64</v>
      </c>
      <c r="E92" s="11" t="s">
        <v>65</v>
      </c>
      <c r="F92">
        <v>4</v>
      </c>
      <c r="G92" s="11" t="s">
        <v>60</v>
      </c>
      <c r="H92" s="11" t="s">
        <v>118</v>
      </c>
      <c r="I92" s="11" t="s">
        <v>126</v>
      </c>
      <c r="J92" s="11" t="s">
        <v>145</v>
      </c>
      <c r="K92" s="11" t="s">
        <v>69</v>
      </c>
      <c r="L92" s="11" t="s">
        <v>113</v>
      </c>
    </row>
    <row r="93" spans="1:12" x14ac:dyDescent="0.35">
      <c r="A93" s="11" t="s">
        <v>35</v>
      </c>
      <c r="B93" s="11" t="s">
        <v>25</v>
      </c>
      <c r="C93" s="11" t="s">
        <v>20</v>
      </c>
      <c r="D93" s="11" t="s">
        <v>64</v>
      </c>
      <c r="E93" s="11" t="s">
        <v>65</v>
      </c>
      <c r="F93">
        <v>4</v>
      </c>
      <c r="G93" s="11" t="s">
        <v>60</v>
      </c>
      <c r="H93" s="11" t="s">
        <v>118</v>
      </c>
      <c r="I93" s="11" t="s">
        <v>126</v>
      </c>
      <c r="J93" s="11" t="s">
        <v>146</v>
      </c>
      <c r="K93" s="11" t="s">
        <v>69</v>
      </c>
      <c r="L93" s="11" t="s">
        <v>113</v>
      </c>
    </row>
    <row r="94" spans="1:12" x14ac:dyDescent="0.35">
      <c r="A94" s="11" t="s">
        <v>35</v>
      </c>
      <c r="B94" s="11" t="s">
        <v>25</v>
      </c>
      <c r="C94" s="11" t="s">
        <v>20</v>
      </c>
      <c r="D94" s="11" t="s">
        <v>64</v>
      </c>
      <c r="E94" s="11" t="s">
        <v>65</v>
      </c>
      <c r="F94">
        <v>4</v>
      </c>
      <c r="G94" s="11" t="s">
        <v>60</v>
      </c>
      <c r="H94" s="11" t="s">
        <v>118</v>
      </c>
      <c r="I94" s="11" t="s">
        <v>124</v>
      </c>
      <c r="J94" s="11" t="s">
        <v>145</v>
      </c>
      <c r="K94" s="11" t="s">
        <v>69</v>
      </c>
      <c r="L94" s="11" t="s">
        <v>113</v>
      </c>
    </row>
    <row r="95" spans="1:12" x14ac:dyDescent="0.35">
      <c r="A95" s="11" t="s">
        <v>35</v>
      </c>
      <c r="B95" s="11" t="s">
        <v>25</v>
      </c>
      <c r="C95" s="11" t="s">
        <v>20</v>
      </c>
      <c r="D95" s="11" t="s">
        <v>64</v>
      </c>
      <c r="E95" s="11" t="s">
        <v>65</v>
      </c>
      <c r="F95">
        <v>4</v>
      </c>
      <c r="G95" s="11" t="s">
        <v>60</v>
      </c>
      <c r="H95" s="11" t="s">
        <v>118</v>
      </c>
      <c r="I95" s="11" t="s">
        <v>124</v>
      </c>
      <c r="J95" s="11" t="s">
        <v>146</v>
      </c>
      <c r="K95" s="11" t="s">
        <v>69</v>
      </c>
      <c r="L95" s="11" t="s">
        <v>113</v>
      </c>
    </row>
    <row r="96" spans="1:12" x14ac:dyDescent="0.35">
      <c r="A96" s="11" t="s">
        <v>36</v>
      </c>
      <c r="B96" s="11" t="s">
        <v>102</v>
      </c>
      <c r="C96" s="11" t="s">
        <v>57</v>
      </c>
      <c r="D96" s="11" t="s">
        <v>83</v>
      </c>
      <c r="E96" s="11" t="s">
        <v>84</v>
      </c>
      <c r="F96">
        <v>4</v>
      </c>
      <c r="G96" s="11" t="s">
        <v>60</v>
      </c>
      <c r="H96" s="11" t="s">
        <v>14</v>
      </c>
      <c r="I96" s="11" t="s">
        <v>121</v>
      </c>
      <c r="J96" s="11" t="s">
        <v>85</v>
      </c>
      <c r="K96" s="11" t="s">
        <v>63</v>
      </c>
      <c r="L96" s="11" t="s">
        <v>113</v>
      </c>
    </row>
    <row r="97" spans="1:12" x14ac:dyDescent="0.35">
      <c r="A97" s="11" t="s">
        <v>36</v>
      </c>
      <c r="B97" s="11" t="s">
        <v>102</v>
      </c>
      <c r="C97" s="11" t="s">
        <v>57</v>
      </c>
      <c r="D97" s="11" t="s">
        <v>83</v>
      </c>
      <c r="E97" s="11" t="s">
        <v>84</v>
      </c>
      <c r="F97">
        <v>4</v>
      </c>
      <c r="G97" s="11" t="s">
        <v>60</v>
      </c>
      <c r="H97" s="11" t="s">
        <v>14</v>
      </c>
      <c r="I97" s="11" t="s">
        <v>121</v>
      </c>
      <c r="J97" s="11" t="s">
        <v>85</v>
      </c>
      <c r="K97" s="11" t="s">
        <v>56</v>
      </c>
      <c r="L97" s="11" t="s">
        <v>113</v>
      </c>
    </row>
    <row r="98" spans="1:12" x14ac:dyDescent="0.35">
      <c r="A98" s="11" t="s">
        <v>36</v>
      </c>
      <c r="B98" s="11" t="s">
        <v>102</v>
      </c>
      <c r="C98" s="11" t="s">
        <v>57</v>
      </c>
      <c r="D98" s="11" t="s">
        <v>83</v>
      </c>
      <c r="E98" s="11" t="s">
        <v>84</v>
      </c>
      <c r="F98">
        <v>4</v>
      </c>
      <c r="G98" s="11" t="s">
        <v>60</v>
      </c>
      <c r="H98" s="11" t="s">
        <v>14</v>
      </c>
      <c r="I98" s="11" t="s">
        <v>120</v>
      </c>
      <c r="J98" s="11" t="s">
        <v>85</v>
      </c>
      <c r="K98" s="11" t="s">
        <v>63</v>
      </c>
      <c r="L98" s="11" t="s">
        <v>113</v>
      </c>
    </row>
    <row r="99" spans="1:12" x14ac:dyDescent="0.35">
      <c r="A99" s="11" t="s">
        <v>36</v>
      </c>
      <c r="B99" s="11" t="s">
        <v>102</v>
      </c>
      <c r="C99" s="11" t="s">
        <v>57</v>
      </c>
      <c r="D99" s="11" t="s">
        <v>83</v>
      </c>
      <c r="E99" s="11" t="s">
        <v>84</v>
      </c>
      <c r="F99">
        <v>4</v>
      </c>
      <c r="G99" s="11" t="s">
        <v>60</v>
      </c>
      <c r="H99" s="11" t="s">
        <v>14</v>
      </c>
      <c r="I99" s="11" t="s">
        <v>120</v>
      </c>
      <c r="J99" s="11" t="s">
        <v>85</v>
      </c>
      <c r="K99" s="11" t="s">
        <v>56</v>
      </c>
      <c r="L99" s="11" t="s">
        <v>113</v>
      </c>
    </row>
    <row r="100" spans="1:12" x14ac:dyDescent="0.35">
      <c r="A100" s="11" t="s">
        <v>37</v>
      </c>
      <c r="B100" s="11" t="s">
        <v>104</v>
      </c>
      <c r="C100" s="11" t="s">
        <v>79</v>
      </c>
      <c r="D100" s="11" t="s">
        <v>73</v>
      </c>
      <c r="E100" s="11" t="s">
        <v>74</v>
      </c>
      <c r="F100">
        <v>3</v>
      </c>
      <c r="G100" s="11" t="s">
        <v>60</v>
      </c>
      <c r="H100" s="11" t="s">
        <v>54</v>
      </c>
      <c r="I100" s="11" t="s">
        <v>75</v>
      </c>
      <c r="J100" s="11" t="s">
        <v>76</v>
      </c>
      <c r="K100" s="11" t="s">
        <v>56</v>
      </c>
      <c r="L100" s="11" t="s">
        <v>111</v>
      </c>
    </row>
    <row r="101" spans="1:12" x14ac:dyDescent="0.35">
      <c r="A101" s="11" t="s">
        <v>38</v>
      </c>
      <c r="B101" s="11" t="s">
        <v>78</v>
      </c>
      <c r="C101" s="11" t="s">
        <v>79</v>
      </c>
      <c r="D101" s="11" t="s">
        <v>77</v>
      </c>
      <c r="E101" s="11" t="s">
        <v>80</v>
      </c>
      <c r="F101">
        <v>3</v>
      </c>
      <c r="G101" s="11" t="s">
        <v>60</v>
      </c>
      <c r="H101" s="11" t="s">
        <v>54</v>
      </c>
      <c r="I101" s="11" t="s">
        <v>120</v>
      </c>
      <c r="J101" s="11" t="s">
        <v>147</v>
      </c>
      <c r="K101" s="11" t="s">
        <v>56</v>
      </c>
      <c r="L101" s="11" t="s">
        <v>112</v>
      </c>
    </row>
    <row r="102" spans="1:12" x14ac:dyDescent="0.35">
      <c r="A102" s="11" t="s">
        <v>38</v>
      </c>
      <c r="B102" s="11" t="s">
        <v>78</v>
      </c>
      <c r="C102" s="11" t="s">
        <v>79</v>
      </c>
      <c r="D102" s="11" t="s">
        <v>77</v>
      </c>
      <c r="E102" s="11" t="s">
        <v>80</v>
      </c>
      <c r="F102">
        <v>3</v>
      </c>
      <c r="G102" s="11" t="s">
        <v>60</v>
      </c>
      <c r="H102" s="11" t="s">
        <v>54</v>
      </c>
      <c r="I102" s="11" t="s">
        <v>120</v>
      </c>
      <c r="J102" s="11" t="s">
        <v>148</v>
      </c>
      <c r="K102" s="11" t="s">
        <v>56</v>
      </c>
      <c r="L102" s="11" t="s">
        <v>112</v>
      </c>
    </row>
    <row r="103" spans="1:12" x14ac:dyDescent="0.35">
      <c r="A103" s="11" t="s">
        <v>38</v>
      </c>
      <c r="B103" s="11" t="s">
        <v>78</v>
      </c>
      <c r="C103" s="11" t="s">
        <v>79</v>
      </c>
      <c r="D103" s="11" t="s">
        <v>77</v>
      </c>
      <c r="E103" s="11" t="s">
        <v>80</v>
      </c>
      <c r="F103">
        <v>3</v>
      </c>
      <c r="G103" s="11" t="s">
        <v>60</v>
      </c>
      <c r="H103" s="11" t="s">
        <v>54</v>
      </c>
      <c r="I103" s="11" t="s">
        <v>120</v>
      </c>
      <c r="J103" s="11" t="s">
        <v>149</v>
      </c>
      <c r="K103" s="11" t="s">
        <v>56</v>
      </c>
      <c r="L103" s="11" t="s">
        <v>112</v>
      </c>
    </row>
    <row r="104" spans="1:12" x14ac:dyDescent="0.35">
      <c r="A104" s="11" t="s">
        <v>38</v>
      </c>
      <c r="B104" s="11" t="s">
        <v>78</v>
      </c>
      <c r="C104" s="11" t="s">
        <v>79</v>
      </c>
      <c r="D104" s="11" t="s">
        <v>77</v>
      </c>
      <c r="E104" s="11" t="s">
        <v>80</v>
      </c>
      <c r="F104">
        <v>3</v>
      </c>
      <c r="G104" s="11" t="s">
        <v>60</v>
      </c>
      <c r="H104" s="11" t="s">
        <v>54</v>
      </c>
      <c r="I104" s="11" t="s">
        <v>120</v>
      </c>
      <c r="J104" s="11" t="s">
        <v>150</v>
      </c>
      <c r="K104" s="11" t="s">
        <v>56</v>
      </c>
      <c r="L104" s="11" t="s">
        <v>112</v>
      </c>
    </row>
    <row r="105" spans="1:12" x14ac:dyDescent="0.35">
      <c r="A105" s="11" t="s">
        <v>38</v>
      </c>
      <c r="B105" s="11" t="s">
        <v>78</v>
      </c>
      <c r="C105" s="11" t="s">
        <v>79</v>
      </c>
      <c r="D105" s="11" t="s">
        <v>77</v>
      </c>
      <c r="E105" s="11" t="s">
        <v>80</v>
      </c>
      <c r="F105">
        <v>3</v>
      </c>
      <c r="G105" s="11" t="s">
        <v>60</v>
      </c>
      <c r="H105" s="11" t="s">
        <v>54</v>
      </c>
      <c r="I105" s="11" t="s">
        <v>122</v>
      </c>
      <c r="J105" s="11" t="s">
        <v>147</v>
      </c>
      <c r="K105" s="11" t="s">
        <v>56</v>
      </c>
      <c r="L105" s="11" t="s">
        <v>112</v>
      </c>
    </row>
    <row r="106" spans="1:12" x14ac:dyDescent="0.35">
      <c r="A106" s="11" t="s">
        <v>38</v>
      </c>
      <c r="B106" s="11" t="s">
        <v>78</v>
      </c>
      <c r="C106" s="11" t="s">
        <v>79</v>
      </c>
      <c r="D106" s="11" t="s">
        <v>77</v>
      </c>
      <c r="E106" s="11" t="s">
        <v>80</v>
      </c>
      <c r="F106">
        <v>3</v>
      </c>
      <c r="G106" s="11" t="s">
        <v>60</v>
      </c>
      <c r="H106" s="11" t="s">
        <v>54</v>
      </c>
      <c r="I106" s="11" t="s">
        <v>122</v>
      </c>
      <c r="J106" s="11" t="s">
        <v>148</v>
      </c>
      <c r="K106" s="11" t="s">
        <v>56</v>
      </c>
      <c r="L106" s="11" t="s">
        <v>112</v>
      </c>
    </row>
    <row r="107" spans="1:12" x14ac:dyDescent="0.35">
      <c r="A107" s="11" t="s">
        <v>38</v>
      </c>
      <c r="B107" s="11" t="s">
        <v>78</v>
      </c>
      <c r="C107" s="11" t="s">
        <v>79</v>
      </c>
      <c r="D107" s="11" t="s">
        <v>77</v>
      </c>
      <c r="E107" s="11" t="s">
        <v>80</v>
      </c>
      <c r="F107">
        <v>3</v>
      </c>
      <c r="G107" s="11" t="s">
        <v>60</v>
      </c>
      <c r="H107" s="11" t="s">
        <v>54</v>
      </c>
      <c r="I107" s="11" t="s">
        <v>122</v>
      </c>
      <c r="J107" s="11" t="s">
        <v>149</v>
      </c>
      <c r="K107" s="11" t="s">
        <v>56</v>
      </c>
      <c r="L107" s="11" t="s">
        <v>112</v>
      </c>
    </row>
    <row r="108" spans="1:12" x14ac:dyDescent="0.35">
      <c r="A108" s="11" t="s">
        <v>38</v>
      </c>
      <c r="B108" s="11" t="s">
        <v>78</v>
      </c>
      <c r="C108" s="11" t="s">
        <v>79</v>
      </c>
      <c r="D108" s="11" t="s">
        <v>77</v>
      </c>
      <c r="E108" s="11" t="s">
        <v>80</v>
      </c>
      <c r="F108">
        <v>3</v>
      </c>
      <c r="G108" s="11" t="s">
        <v>60</v>
      </c>
      <c r="H108" s="11" t="s">
        <v>54</v>
      </c>
      <c r="I108" s="11" t="s">
        <v>122</v>
      </c>
      <c r="J108" s="11" t="s">
        <v>150</v>
      </c>
      <c r="K108" s="11" t="s">
        <v>56</v>
      </c>
      <c r="L108" s="11" t="s">
        <v>112</v>
      </c>
    </row>
    <row r="109" spans="1:12" x14ac:dyDescent="0.35">
      <c r="A109" s="11" t="s">
        <v>39</v>
      </c>
      <c r="B109" s="11" t="s">
        <v>93</v>
      </c>
      <c r="C109" s="11" t="s">
        <v>94</v>
      </c>
      <c r="D109" s="11" t="s">
        <v>95</v>
      </c>
      <c r="E109" s="11" t="s">
        <v>96</v>
      </c>
      <c r="F109">
        <v>3</v>
      </c>
      <c r="G109" s="11" t="s">
        <v>89</v>
      </c>
      <c r="H109" s="11" t="s">
        <v>118</v>
      </c>
      <c r="I109" s="11" t="s">
        <v>97</v>
      </c>
      <c r="J109" s="11" t="s">
        <v>98</v>
      </c>
      <c r="K109" s="11" t="s">
        <v>129</v>
      </c>
      <c r="L109" s="11" t="s">
        <v>114</v>
      </c>
    </row>
    <row r="110" spans="1:12" x14ac:dyDescent="0.35">
      <c r="A110" s="11" t="s">
        <v>39</v>
      </c>
      <c r="B110" s="11" t="s">
        <v>93</v>
      </c>
      <c r="C110" s="11" t="s">
        <v>94</v>
      </c>
      <c r="D110" s="11" t="s">
        <v>95</v>
      </c>
      <c r="E110" s="11" t="s">
        <v>96</v>
      </c>
      <c r="F110">
        <v>3</v>
      </c>
      <c r="G110" s="11" t="s">
        <v>89</v>
      </c>
      <c r="H110" s="11" t="s">
        <v>118</v>
      </c>
      <c r="I110" s="11" t="s">
        <v>97</v>
      </c>
      <c r="J110" s="11" t="s">
        <v>98</v>
      </c>
      <c r="K110" s="11" t="s">
        <v>128</v>
      </c>
      <c r="L110" s="11" t="s">
        <v>114</v>
      </c>
    </row>
    <row r="111" spans="1:12" x14ac:dyDescent="0.35">
      <c r="A111" s="11" t="s">
        <v>39</v>
      </c>
      <c r="B111" s="11" t="s">
        <v>93</v>
      </c>
      <c r="C111" s="11" t="s">
        <v>94</v>
      </c>
      <c r="D111" s="11" t="s">
        <v>95</v>
      </c>
      <c r="E111" s="11" t="s">
        <v>96</v>
      </c>
      <c r="F111">
        <v>3</v>
      </c>
      <c r="G111" s="11" t="s">
        <v>89</v>
      </c>
      <c r="H111" s="11" t="s">
        <v>14</v>
      </c>
      <c r="I111" s="11" t="s">
        <v>97</v>
      </c>
      <c r="J111" s="11" t="s">
        <v>98</v>
      </c>
      <c r="K111" s="11" t="s">
        <v>129</v>
      </c>
      <c r="L111" s="11" t="s">
        <v>114</v>
      </c>
    </row>
    <row r="112" spans="1:12" x14ac:dyDescent="0.35">
      <c r="A112" s="11" t="s">
        <v>39</v>
      </c>
      <c r="B112" s="11" t="s">
        <v>93</v>
      </c>
      <c r="C112" s="11" t="s">
        <v>94</v>
      </c>
      <c r="D112" s="11" t="s">
        <v>95</v>
      </c>
      <c r="E112" s="11" t="s">
        <v>96</v>
      </c>
      <c r="F112">
        <v>3</v>
      </c>
      <c r="G112" s="11" t="s">
        <v>89</v>
      </c>
      <c r="H112" s="11" t="s">
        <v>14</v>
      </c>
      <c r="I112" s="11" t="s">
        <v>97</v>
      </c>
      <c r="J112" s="11" t="s">
        <v>98</v>
      </c>
      <c r="K112" s="11" t="s">
        <v>128</v>
      </c>
      <c r="L112" s="11" t="s">
        <v>114</v>
      </c>
    </row>
    <row r="113" spans="1:12" x14ac:dyDescent="0.35">
      <c r="A113" s="11" t="s">
        <v>101</v>
      </c>
      <c r="B113" s="11" t="s">
        <v>87</v>
      </c>
      <c r="C113" s="11" t="s">
        <v>20</v>
      </c>
      <c r="D113" s="11" t="s">
        <v>88</v>
      </c>
      <c r="E113" s="11" t="s">
        <v>91</v>
      </c>
      <c r="F113">
        <v>2</v>
      </c>
      <c r="G113" s="11" t="s">
        <v>89</v>
      </c>
      <c r="H113" s="11" t="s">
        <v>14</v>
      </c>
      <c r="I113" s="11" t="s">
        <v>90</v>
      </c>
      <c r="J113" s="11" t="s">
        <v>92</v>
      </c>
      <c r="K113" s="11" t="s">
        <v>41</v>
      </c>
      <c r="L113" s="11" t="s">
        <v>113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096F-D4C8-49C9-8FB4-46C64CA9A6BF}">
  <dimension ref="A1:L15"/>
  <sheetViews>
    <sheetView topLeftCell="D1" zoomScale="59" zoomScaleNormal="59" workbookViewId="0">
      <selection activeCell="L4" sqref="L4"/>
    </sheetView>
  </sheetViews>
  <sheetFormatPr defaultRowHeight="14.5" x14ac:dyDescent="0.35"/>
  <cols>
    <col min="1" max="1" width="17.08984375" style="2" customWidth="1"/>
    <col min="2" max="2" width="38" style="2" customWidth="1"/>
    <col min="3" max="3" width="17.7265625" style="2" customWidth="1"/>
    <col min="4" max="4" width="91.7265625" style="2" customWidth="1"/>
    <col min="5" max="5" width="111.36328125" style="2" customWidth="1"/>
    <col min="6" max="6" width="13.81640625" style="2" customWidth="1"/>
    <col min="7" max="7" width="12.1796875" style="2" customWidth="1"/>
    <col min="8" max="8" width="46.36328125" style="2" customWidth="1"/>
    <col min="9" max="9" width="62.1796875" style="2" customWidth="1"/>
    <col min="10" max="10" width="101.7265625" style="2" customWidth="1"/>
    <col min="11" max="11" width="28.7265625" style="2" customWidth="1"/>
    <col min="12" max="12" width="36.81640625" style="2" customWidth="1"/>
    <col min="13" max="16384" width="8.7265625" style="2"/>
  </cols>
  <sheetData>
    <row r="1" spans="1:12" s="4" customFormat="1" ht="32" customHeight="1" x14ac:dyDescent="0.4">
      <c r="A1" s="3" t="s">
        <v>0</v>
      </c>
      <c r="B1" s="3" t="s">
        <v>153</v>
      </c>
      <c r="C1" s="3" t="s">
        <v>1</v>
      </c>
      <c r="D1" s="3" t="s">
        <v>2</v>
      </c>
      <c r="E1" s="3" t="s">
        <v>103</v>
      </c>
      <c r="F1" s="3" t="s">
        <v>109</v>
      </c>
      <c r="G1" s="3" t="s">
        <v>152</v>
      </c>
      <c r="H1" s="3" t="s">
        <v>5</v>
      </c>
      <c r="I1" s="3" t="s">
        <v>8</v>
      </c>
      <c r="J1" s="3" t="s">
        <v>4</v>
      </c>
      <c r="K1" s="3" t="s">
        <v>6</v>
      </c>
      <c r="L1" s="3" t="s">
        <v>100</v>
      </c>
    </row>
    <row r="2" spans="1:12" ht="29.5" customHeight="1" x14ac:dyDescent="0.35">
      <c r="A2" s="1" t="s">
        <v>7</v>
      </c>
      <c r="B2" s="1" t="s">
        <v>9</v>
      </c>
      <c r="C2" s="1" t="s">
        <v>10</v>
      </c>
      <c r="D2" s="1" t="s">
        <v>11</v>
      </c>
      <c r="E2" s="1" t="s">
        <v>12</v>
      </c>
      <c r="F2" s="1">
        <v>5</v>
      </c>
      <c r="G2" s="5" t="s">
        <v>13</v>
      </c>
      <c r="H2" s="1" t="s">
        <v>15</v>
      </c>
      <c r="I2" s="1" t="s">
        <v>116</v>
      </c>
      <c r="J2" s="1" t="s">
        <v>16</v>
      </c>
      <c r="K2" s="1" t="s">
        <v>41</v>
      </c>
      <c r="L2" s="1" t="s">
        <v>112</v>
      </c>
    </row>
    <row r="3" spans="1:12" ht="29.5" customHeight="1" x14ac:dyDescent="0.35">
      <c r="A3" s="1" t="s">
        <v>17</v>
      </c>
      <c r="B3" s="1" t="s">
        <v>19</v>
      </c>
      <c r="C3" s="1" t="s">
        <v>20</v>
      </c>
      <c r="D3" s="1" t="s">
        <v>21</v>
      </c>
      <c r="E3" s="1" t="s">
        <v>22</v>
      </c>
      <c r="F3" s="1">
        <v>5</v>
      </c>
      <c r="G3" s="5" t="s">
        <v>13</v>
      </c>
      <c r="H3" s="1" t="s">
        <v>23</v>
      </c>
      <c r="I3" s="1" t="s">
        <v>105</v>
      </c>
      <c r="J3" s="1" t="s">
        <v>40</v>
      </c>
      <c r="K3" s="1" t="s">
        <v>41</v>
      </c>
      <c r="L3" s="1" t="s">
        <v>111</v>
      </c>
    </row>
    <row r="4" spans="1:12" ht="29" customHeight="1" x14ac:dyDescent="0.35">
      <c r="A4" s="1" t="s">
        <v>24</v>
      </c>
      <c r="B4" s="1" t="s">
        <v>31</v>
      </c>
      <c r="C4" s="1" t="s">
        <v>10</v>
      </c>
      <c r="D4" s="1" t="s">
        <v>42</v>
      </c>
      <c r="E4" s="1" t="s">
        <v>43</v>
      </c>
      <c r="F4" s="1">
        <v>5</v>
      </c>
      <c r="G4" s="5" t="s">
        <v>13</v>
      </c>
      <c r="H4" s="1" t="s">
        <v>44</v>
      </c>
      <c r="I4" s="1" t="s">
        <v>115</v>
      </c>
      <c r="J4" s="1" t="s">
        <v>45</v>
      </c>
      <c r="K4" s="1" t="s">
        <v>46</v>
      </c>
      <c r="L4" s="1" t="s">
        <v>112</v>
      </c>
    </row>
    <row r="5" spans="1:12" ht="30.5" customHeight="1" x14ac:dyDescent="0.35">
      <c r="A5" s="1" t="s">
        <v>26</v>
      </c>
      <c r="B5" s="1" t="s">
        <v>32</v>
      </c>
      <c r="C5" s="1" t="s">
        <v>79</v>
      </c>
      <c r="D5" s="1" t="s">
        <v>52</v>
      </c>
      <c r="E5" s="1" t="s">
        <v>53</v>
      </c>
      <c r="F5" s="1">
        <v>5</v>
      </c>
      <c r="G5" s="5" t="s">
        <v>13</v>
      </c>
      <c r="H5" s="1" t="s">
        <v>54</v>
      </c>
      <c r="I5" s="1" t="s">
        <v>81</v>
      </c>
      <c r="J5" s="1" t="s">
        <v>55</v>
      </c>
      <c r="K5" s="1" t="s">
        <v>56</v>
      </c>
      <c r="L5" s="1" t="s">
        <v>112</v>
      </c>
    </row>
    <row r="6" spans="1:12" ht="31" customHeight="1" x14ac:dyDescent="0.35">
      <c r="A6" s="1" t="s">
        <v>28</v>
      </c>
      <c r="B6" s="1" t="s">
        <v>106</v>
      </c>
      <c r="C6" s="1" t="s">
        <v>10</v>
      </c>
      <c r="D6" s="1" t="s">
        <v>70</v>
      </c>
      <c r="E6" s="1" t="s">
        <v>71</v>
      </c>
      <c r="F6" s="1">
        <v>4</v>
      </c>
      <c r="G6" s="5" t="s">
        <v>13</v>
      </c>
      <c r="H6" s="1" t="s">
        <v>44</v>
      </c>
      <c r="I6" s="1" t="s">
        <v>117</v>
      </c>
      <c r="J6" s="1" t="s">
        <v>72</v>
      </c>
      <c r="K6" s="1" t="s">
        <v>41</v>
      </c>
      <c r="L6" s="1" t="s">
        <v>112</v>
      </c>
    </row>
    <row r="7" spans="1:12" ht="30.5" customHeight="1" x14ac:dyDescent="0.35">
      <c r="A7" s="1" t="s">
        <v>33</v>
      </c>
      <c r="B7" s="1" t="s">
        <v>29</v>
      </c>
      <c r="C7" s="1" t="s">
        <v>27</v>
      </c>
      <c r="D7" s="1" t="s">
        <v>47</v>
      </c>
      <c r="E7" s="1" t="s">
        <v>48</v>
      </c>
      <c r="F7" s="1">
        <v>4</v>
      </c>
      <c r="G7" s="5" t="s">
        <v>13</v>
      </c>
      <c r="H7" s="1" t="s">
        <v>44</v>
      </c>
      <c r="I7" s="1" t="s">
        <v>49</v>
      </c>
      <c r="J7" s="1" t="s">
        <v>50</v>
      </c>
      <c r="K7" s="1" t="s">
        <v>51</v>
      </c>
      <c r="L7" s="1" t="s">
        <v>110</v>
      </c>
    </row>
    <row r="8" spans="1:12" ht="31" customHeight="1" x14ac:dyDescent="0.35">
      <c r="A8" s="1" t="s">
        <v>34</v>
      </c>
      <c r="B8" s="1" t="s">
        <v>30</v>
      </c>
      <c r="C8" s="1" t="s">
        <v>57</v>
      </c>
      <c r="D8" s="1" t="s">
        <v>58</v>
      </c>
      <c r="E8" s="1" t="s">
        <v>59</v>
      </c>
      <c r="F8" s="1">
        <v>4</v>
      </c>
      <c r="G8" s="6" t="s">
        <v>60</v>
      </c>
      <c r="H8" s="1" t="s">
        <v>14</v>
      </c>
      <c r="I8" s="1" t="s">
        <v>61</v>
      </c>
      <c r="J8" s="1" t="s">
        <v>62</v>
      </c>
      <c r="K8" s="1" t="s">
        <v>63</v>
      </c>
      <c r="L8" s="1" t="s">
        <v>111</v>
      </c>
    </row>
    <row r="9" spans="1:12" ht="31" customHeight="1" x14ac:dyDescent="0.35">
      <c r="A9" s="1" t="s">
        <v>35</v>
      </c>
      <c r="B9" s="1" t="s">
        <v>25</v>
      </c>
      <c r="C9" s="1" t="s">
        <v>20</v>
      </c>
      <c r="D9" s="1" t="s">
        <v>64</v>
      </c>
      <c r="E9" s="1" t="s">
        <v>65</v>
      </c>
      <c r="F9" s="1">
        <v>4</v>
      </c>
      <c r="G9" s="6" t="s">
        <v>60</v>
      </c>
      <c r="H9" s="1" t="s">
        <v>66</v>
      </c>
      <c r="I9" s="1" t="s">
        <v>67</v>
      </c>
      <c r="J9" s="1" t="s">
        <v>68</v>
      </c>
      <c r="K9" s="1" t="s">
        <v>69</v>
      </c>
      <c r="L9" s="1" t="s">
        <v>111</v>
      </c>
    </row>
    <row r="10" spans="1:12" ht="30.5" customHeight="1" x14ac:dyDescent="0.35">
      <c r="A10" s="1" t="s">
        <v>36</v>
      </c>
      <c r="B10" s="1" t="s">
        <v>102</v>
      </c>
      <c r="C10" s="1" t="s">
        <v>57</v>
      </c>
      <c r="D10" s="1" t="s">
        <v>83</v>
      </c>
      <c r="E10" s="1" t="s">
        <v>84</v>
      </c>
      <c r="F10" s="1">
        <v>4</v>
      </c>
      <c r="G10" s="6" t="s">
        <v>60</v>
      </c>
      <c r="H10" s="1" t="s">
        <v>14</v>
      </c>
      <c r="I10" s="1" t="s">
        <v>61</v>
      </c>
      <c r="J10" s="1" t="s">
        <v>85</v>
      </c>
      <c r="K10" s="1" t="s">
        <v>86</v>
      </c>
      <c r="L10" s="1" t="s">
        <v>130</v>
      </c>
    </row>
    <row r="11" spans="1:12" ht="29.5" customHeight="1" x14ac:dyDescent="0.35">
      <c r="A11" s="1" t="s">
        <v>37</v>
      </c>
      <c r="B11" s="1" t="s">
        <v>104</v>
      </c>
      <c r="C11" s="1" t="s">
        <v>79</v>
      </c>
      <c r="D11" s="1" t="s">
        <v>73</v>
      </c>
      <c r="E11" s="1" t="s">
        <v>74</v>
      </c>
      <c r="F11" s="1">
        <v>3</v>
      </c>
      <c r="G11" s="6" t="s">
        <v>60</v>
      </c>
      <c r="H11" s="1" t="s">
        <v>54</v>
      </c>
      <c r="I11" s="1" t="s">
        <v>75</v>
      </c>
      <c r="J11" s="1" t="s">
        <v>76</v>
      </c>
      <c r="K11" s="1" t="s">
        <v>56</v>
      </c>
      <c r="L11" s="1" t="s">
        <v>113</v>
      </c>
    </row>
    <row r="12" spans="1:12" ht="29" customHeight="1" x14ac:dyDescent="0.35">
      <c r="A12" s="1" t="s">
        <v>38</v>
      </c>
      <c r="B12" s="1" t="s">
        <v>78</v>
      </c>
      <c r="C12" s="1" t="s">
        <v>79</v>
      </c>
      <c r="D12" s="1" t="s">
        <v>77</v>
      </c>
      <c r="E12" s="1" t="s">
        <v>80</v>
      </c>
      <c r="F12" s="1">
        <v>3</v>
      </c>
      <c r="G12" s="6" t="s">
        <v>60</v>
      </c>
      <c r="H12" s="1" t="s">
        <v>54</v>
      </c>
      <c r="I12" s="1" t="s">
        <v>105</v>
      </c>
      <c r="J12" s="1" t="s">
        <v>82</v>
      </c>
      <c r="K12" s="1" t="s">
        <v>56</v>
      </c>
      <c r="L12" s="1" t="s">
        <v>112</v>
      </c>
    </row>
    <row r="13" spans="1:12" ht="32.5" customHeight="1" x14ac:dyDescent="0.35">
      <c r="A13" s="1" t="s">
        <v>39</v>
      </c>
      <c r="B13" s="1" t="s">
        <v>93</v>
      </c>
      <c r="C13" s="1" t="s">
        <v>94</v>
      </c>
      <c r="D13" s="1" t="s">
        <v>95</v>
      </c>
      <c r="E13" s="1" t="s">
        <v>96</v>
      </c>
      <c r="F13" s="1">
        <v>3</v>
      </c>
      <c r="G13" s="7" t="s">
        <v>89</v>
      </c>
      <c r="H13" s="1" t="s">
        <v>44</v>
      </c>
      <c r="I13" s="1" t="s">
        <v>97</v>
      </c>
      <c r="J13" s="1" t="s">
        <v>98</v>
      </c>
      <c r="K13" s="1" t="s">
        <v>99</v>
      </c>
      <c r="L13" s="1" t="s">
        <v>130</v>
      </c>
    </row>
    <row r="14" spans="1:12" ht="31" customHeight="1" x14ac:dyDescent="0.35">
      <c r="A14" s="1" t="s">
        <v>101</v>
      </c>
      <c r="B14" s="1" t="s">
        <v>87</v>
      </c>
      <c r="C14" s="1" t="s">
        <v>20</v>
      </c>
      <c r="D14" s="1" t="s">
        <v>88</v>
      </c>
      <c r="E14" s="1" t="s">
        <v>91</v>
      </c>
      <c r="F14" s="1">
        <v>2</v>
      </c>
      <c r="G14" s="7" t="s">
        <v>89</v>
      </c>
      <c r="H14" s="1" t="s">
        <v>14</v>
      </c>
      <c r="I14" s="1" t="s">
        <v>154</v>
      </c>
      <c r="J14" s="1" t="s">
        <v>92</v>
      </c>
      <c r="K14" s="1" t="s">
        <v>41</v>
      </c>
      <c r="L14" s="1" t="s">
        <v>130</v>
      </c>
    </row>
    <row r="15" spans="1:12" x14ac:dyDescent="0.35">
      <c r="A15" s="1"/>
      <c r="B15" s="1"/>
      <c r="C15" s="1"/>
      <c r="D15" s="1"/>
      <c r="E15" s="1"/>
      <c r="F15" s="1"/>
      <c r="G15" s="8"/>
      <c r="H15" s="1"/>
      <c r="I15" s="1"/>
      <c r="J15" s="1"/>
      <c r="K15" s="1"/>
      <c r="L15" s="1"/>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F44D8-43ED-4FCF-9320-E0C3F7DBFC5D}">
  <dimension ref="A1:B5"/>
  <sheetViews>
    <sheetView workbookViewId="0">
      <selection activeCell="B3" sqref="B3"/>
    </sheetView>
  </sheetViews>
  <sheetFormatPr defaultRowHeight="14.5" x14ac:dyDescent="0.35"/>
  <cols>
    <col min="1" max="1" width="12.90625" bestFit="1" customWidth="1"/>
    <col min="2" max="2" width="22.453125" bestFit="1" customWidth="1"/>
  </cols>
  <sheetData>
    <row r="1" spans="1:2" x14ac:dyDescent="0.35">
      <c r="A1" s="9" t="s">
        <v>107</v>
      </c>
      <c r="B1" t="s">
        <v>127</v>
      </c>
    </row>
    <row r="2" spans="1:2" x14ac:dyDescent="0.35">
      <c r="A2" s="10" t="s">
        <v>13</v>
      </c>
      <c r="B2" s="11">
        <v>6</v>
      </c>
    </row>
    <row r="3" spans="1:2" x14ac:dyDescent="0.35">
      <c r="A3" s="10" t="s">
        <v>60</v>
      </c>
      <c r="B3" s="11">
        <v>5</v>
      </c>
    </row>
    <row r="4" spans="1:2" x14ac:dyDescent="0.35">
      <c r="A4" s="10" t="s">
        <v>89</v>
      </c>
      <c r="B4" s="11">
        <v>2</v>
      </c>
    </row>
    <row r="5" spans="1:2" x14ac:dyDescent="0.35">
      <c r="A5" s="10" t="s">
        <v>108</v>
      </c>
      <c r="B5" s="11">
        <v>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D0DD-93DF-41A8-8E6A-5D55937AFD93}">
  <dimension ref="A1:B6"/>
  <sheetViews>
    <sheetView workbookViewId="0">
      <selection activeCell="Q15" sqref="Q15"/>
    </sheetView>
  </sheetViews>
  <sheetFormatPr defaultRowHeight="14.5" x14ac:dyDescent="0.35"/>
  <cols>
    <col min="1" max="1" width="32.7265625" bestFit="1" customWidth="1"/>
    <col min="2" max="2" width="22.453125" bestFit="1" customWidth="1"/>
  </cols>
  <sheetData>
    <row r="1" spans="1:2" x14ac:dyDescent="0.35">
      <c r="A1" s="9" t="s">
        <v>107</v>
      </c>
      <c r="B1" t="s">
        <v>127</v>
      </c>
    </row>
    <row r="2" spans="1:2" x14ac:dyDescent="0.35">
      <c r="A2" s="10" t="s">
        <v>119</v>
      </c>
      <c r="B2" s="11">
        <v>2</v>
      </c>
    </row>
    <row r="3" spans="1:2" x14ac:dyDescent="0.35">
      <c r="A3" s="10" t="s">
        <v>118</v>
      </c>
      <c r="B3" s="11">
        <v>7</v>
      </c>
    </row>
    <row r="4" spans="1:2" x14ac:dyDescent="0.35">
      <c r="A4" s="10" t="s">
        <v>54</v>
      </c>
      <c r="B4" s="11">
        <v>3</v>
      </c>
    </row>
    <row r="5" spans="1:2" x14ac:dyDescent="0.35">
      <c r="A5" s="10" t="s">
        <v>14</v>
      </c>
      <c r="B5" s="11">
        <v>9</v>
      </c>
    </row>
    <row r="6" spans="1:2" x14ac:dyDescent="0.35">
      <c r="A6" s="10" t="s">
        <v>108</v>
      </c>
      <c r="B6" s="11">
        <v>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53E2-87E0-475B-97CD-B47F3D71CDA8}">
  <dimension ref="A1:B8"/>
  <sheetViews>
    <sheetView workbookViewId="0">
      <selection activeCell="Q11" sqref="Q11"/>
    </sheetView>
  </sheetViews>
  <sheetFormatPr defaultRowHeight="14.5" x14ac:dyDescent="0.35"/>
  <cols>
    <col min="1" max="1" width="14.26953125" bestFit="1" customWidth="1"/>
    <col min="2" max="2" width="22.453125" bestFit="1" customWidth="1"/>
  </cols>
  <sheetData>
    <row r="1" spans="1:2" x14ac:dyDescent="0.35">
      <c r="A1" s="9" t="s">
        <v>107</v>
      </c>
      <c r="B1" t="s">
        <v>127</v>
      </c>
    </row>
    <row r="2" spans="1:2" x14ac:dyDescent="0.35">
      <c r="A2" s="10" t="s">
        <v>27</v>
      </c>
      <c r="B2" s="11">
        <v>1</v>
      </c>
    </row>
    <row r="3" spans="1:2" x14ac:dyDescent="0.35">
      <c r="A3" s="10" t="s">
        <v>94</v>
      </c>
      <c r="B3" s="11">
        <v>1</v>
      </c>
    </row>
    <row r="4" spans="1:2" x14ac:dyDescent="0.35">
      <c r="A4" s="10" t="s">
        <v>57</v>
      </c>
      <c r="B4" s="11">
        <v>2</v>
      </c>
    </row>
    <row r="5" spans="1:2" x14ac:dyDescent="0.35">
      <c r="A5" s="10" t="s">
        <v>20</v>
      </c>
      <c r="B5" s="11">
        <v>3</v>
      </c>
    </row>
    <row r="6" spans="1:2" x14ac:dyDescent="0.35">
      <c r="A6" s="10" t="s">
        <v>10</v>
      </c>
      <c r="B6" s="11">
        <v>3</v>
      </c>
    </row>
    <row r="7" spans="1:2" x14ac:dyDescent="0.35">
      <c r="A7" s="10" t="s">
        <v>79</v>
      </c>
      <c r="B7" s="11">
        <v>3</v>
      </c>
    </row>
    <row r="8" spans="1:2" x14ac:dyDescent="0.35">
      <c r="A8" s="10" t="s">
        <v>108</v>
      </c>
      <c r="B8" s="11">
        <v>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563F-4D82-4DF3-9310-C5A2C54F74A8}">
  <dimension ref="A1:B12"/>
  <sheetViews>
    <sheetView workbookViewId="0">
      <selection activeCell="S12" sqref="S12"/>
    </sheetView>
  </sheetViews>
  <sheetFormatPr defaultRowHeight="14.5" x14ac:dyDescent="0.35"/>
  <cols>
    <col min="1" max="1" width="26.7265625" bestFit="1" customWidth="1"/>
    <col min="2" max="2" width="22.453125" bestFit="1" customWidth="1"/>
  </cols>
  <sheetData>
    <row r="1" spans="1:2" x14ac:dyDescent="0.35">
      <c r="A1" s="9" t="s">
        <v>107</v>
      </c>
      <c r="B1" t="s">
        <v>127</v>
      </c>
    </row>
    <row r="2" spans="1:2" x14ac:dyDescent="0.35">
      <c r="A2" s="10" t="s">
        <v>126</v>
      </c>
      <c r="B2" s="11">
        <v>1</v>
      </c>
    </row>
    <row r="3" spans="1:2" x14ac:dyDescent="0.35">
      <c r="A3" s="10" t="s">
        <v>154</v>
      </c>
      <c r="B3" s="11">
        <v>1</v>
      </c>
    </row>
    <row r="4" spans="1:2" x14ac:dyDescent="0.35">
      <c r="A4" s="10" t="s">
        <v>125</v>
      </c>
      <c r="B4" s="11">
        <v>1</v>
      </c>
    </row>
    <row r="5" spans="1:2" x14ac:dyDescent="0.35">
      <c r="A5" s="10" t="s">
        <v>75</v>
      </c>
      <c r="B5" s="11">
        <v>1</v>
      </c>
    </row>
    <row r="6" spans="1:2" x14ac:dyDescent="0.35">
      <c r="A6" s="10" t="s">
        <v>123</v>
      </c>
      <c r="B6" s="11">
        <v>2</v>
      </c>
    </row>
    <row r="7" spans="1:2" x14ac:dyDescent="0.35">
      <c r="A7" s="10" t="s">
        <v>124</v>
      </c>
      <c r="B7" s="11">
        <v>2</v>
      </c>
    </row>
    <row r="8" spans="1:2" x14ac:dyDescent="0.35">
      <c r="A8" s="10" t="s">
        <v>97</v>
      </c>
      <c r="B8" s="11">
        <v>4</v>
      </c>
    </row>
    <row r="9" spans="1:2" x14ac:dyDescent="0.35">
      <c r="A9" s="10" t="s">
        <v>121</v>
      </c>
      <c r="B9" s="11">
        <v>4</v>
      </c>
    </row>
    <row r="10" spans="1:2" x14ac:dyDescent="0.35">
      <c r="A10" s="10" t="s">
        <v>122</v>
      </c>
      <c r="B10" s="11">
        <v>5</v>
      </c>
    </row>
    <row r="11" spans="1:2" x14ac:dyDescent="0.35">
      <c r="A11" s="10" t="s">
        <v>120</v>
      </c>
      <c r="B11" s="11">
        <v>6</v>
      </c>
    </row>
    <row r="12" spans="1:2" x14ac:dyDescent="0.35">
      <c r="A12" s="10" t="s">
        <v>108</v>
      </c>
      <c r="B12" s="11">
        <v>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D03BF-698A-4648-BC2B-10319F090A63}">
  <dimension ref="A1:B9"/>
  <sheetViews>
    <sheetView workbookViewId="0">
      <selection activeCell="Y32" sqref="Y32"/>
    </sheetView>
  </sheetViews>
  <sheetFormatPr defaultRowHeight="14.5" x14ac:dyDescent="0.35"/>
  <cols>
    <col min="1" max="1" width="17.7265625" bestFit="1" customWidth="1"/>
    <col min="2" max="2" width="22.453125" bestFit="1" customWidth="1"/>
  </cols>
  <sheetData>
    <row r="1" spans="1:2" x14ac:dyDescent="0.35">
      <c r="A1" s="9" t="s">
        <v>107</v>
      </c>
      <c r="B1" t="s">
        <v>127</v>
      </c>
    </row>
    <row r="2" spans="1:2" x14ac:dyDescent="0.35">
      <c r="A2" s="10" t="s">
        <v>69</v>
      </c>
      <c r="B2" s="11">
        <v>1</v>
      </c>
    </row>
    <row r="3" spans="1:2" x14ac:dyDescent="0.35">
      <c r="A3" s="10" t="s">
        <v>51</v>
      </c>
      <c r="B3" s="11">
        <v>1</v>
      </c>
    </row>
    <row r="4" spans="1:2" x14ac:dyDescent="0.35">
      <c r="A4" s="10" t="s">
        <v>129</v>
      </c>
      <c r="B4" s="11">
        <v>1</v>
      </c>
    </row>
    <row r="5" spans="1:2" x14ac:dyDescent="0.35">
      <c r="A5" s="10" t="s">
        <v>63</v>
      </c>
      <c r="B5" s="11">
        <v>2</v>
      </c>
    </row>
    <row r="6" spans="1:2" x14ac:dyDescent="0.35">
      <c r="A6" s="10" t="s">
        <v>128</v>
      </c>
      <c r="B6" s="11">
        <v>2</v>
      </c>
    </row>
    <row r="7" spans="1:2" x14ac:dyDescent="0.35">
      <c r="A7" s="10" t="s">
        <v>56</v>
      </c>
      <c r="B7" s="11">
        <v>4</v>
      </c>
    </row>
    <row r="8" spans="1:2" x14ac:dyDescent="0.35">
      <c r="A8" s="10" t="s">
        <v>41</v>
      </c>
      <c r="B8" s="11">
        <v>5</v>
      </c>
    </row>
    <row r="9" spans="1:2" x14ac:dyDescent="0.35">
      <c r="A9" s="10" t="s">
        <v>108</v>
      </c>
      <c r="B9" s="11">
        <v>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DFC2-703A-4EDA-88C2-3C6D838548E0}">
  <dimension ref="A1:B17"/>
  <sheetViews>
    <sheetView workbookViewId="0">
      <selection activeCell="I34" sqref="I34"/>
    </sheetView>
  </sheetViews>
  <sheetFormatPr defaultRowHeight="14.5" x14ac:dyDescent="0.35"/>
  <cols>
    <col min="1" max="1" width="12.90625" bestFit="1" customWidth="1"/>
    <col min="2" max="2" width="22.453125" bestFit="1" customWidth="1"/>
  </cols>
  <sheetData>
    <row r="1" spans="1:2" x14ac:dyDescent="0.35">
      <c r="A1" s="9" t="s">
        <v>107</v>
      </c>
      <c r="B1" t="s">
        <v>127</v>
      </c>
    </row>
    <row r="2" spans="1:2" x14ac:dyDescent="0.35">
      <c r="A2" s="10" t="s">
        <v>130</v>
      </c>
      <c r="B2" s="11">
        <v>3</v>
      </c>
    </row>
    <row r="3" spans="1:2" x14ac:dyDescent="0.35">
      <c r="A3" s="10" t="s">
        <v>110</v>
      </c>
      <c r="B3" s="11">
        <v>1</v>
      </c>
    </row>
    <row r="4" spans="1:2" x14ac:dyDescent="0.35">
      <c r="A4" s="10" t="s">
        <v>113</v>
      </c>
      <c r="B4" s="11">
        <v>1</v>
      </c>
    </row>
    <row r="5" spans="1:2" x14ac:dyDescent="0.35">
      <c r="A5" s="10" t="s">
        <v>112</v>
      </c>
      <c r="B5" s="11">
        <v>5</v>
      </c>
    </row>
    <row r="6" spans="1:2" x14ac:dyDescent="0.35">
      <c r="A6" s="10" t="s">
        <v>111</v>
      </c>
      <c r="B6" s="11">
        <v>3</v>
      </c>
    </row>
    <row r="7" spans="1:2" x14ac:dyDescent="0.35">
      <c r="A7" s="10" t="s">
        <v>108</v>
      </c>
      <c r="B7" s="11">
        <v>13</v>
      </c>
    </row>
    <row r="11" spans="1:2" x14ac:dyDescent="0.35">
      <c r="A11" s="9" t="s">
        <v>107</v>
      </c>
      <c r="B11" t="s">
        <v>127</v>
      </c>
    </row>
    <row r="12" spans="1:2" x14ac:dyDescent="0.35">
      <c r="A12" s="10" t="s">
        <v>130</v>
      </c>
      <c r="B12" s="11">
        <v>3</v>
      </c>
    </row>
    <row r="13" spans="1:2" x14ac:dyDescent="0.35">
      <c r="A13" s="10" t="s">
        <v>110</v>
      </c>
      <c r="B13" s="11">
        <v>1</v>
      </c>
    </row>
    <row r="14" spans="1:2" x14ac:dyDescent="0.35">
      <c r="A14" s="10" t="s">
        <v>113</v>
      </c>
      <c r="B14" s="11">
        <v>1</v>
      </c>
    </row>
    <row r="15" spans="1:2" x14ac:dyDescent="0.35">
      <c r="A15" s="10" t="s">
        <v>112</v>
      </c>
      <c r="B15" s="11">
        <v>5</v>
      </c>
    </row>
    <row r="16" spans="1:2" x14ac:dyDescent="0.35">
      <c r="A16" s="10" t="s">
        <v>111</v>
      </c>
      <c r="B16" s="11">
        <v>3</v>
      </c>
    </row>
    <row r="17" spans="1:2" x14ac:dyDescent="0.35">
      <c r="A17" s="10" t="s">
        <v>108</v>
      </c>
      <c r="B17" s="11">
        <v>13</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1813-2FE6-4896-9414-FA0E39F6FED6}">
  <dimension ref="B1:AV16"/>
  <sheetViews>
    <sheetView showGridLines="0" showRowColHeaders="0" tabSelected="1" topLeftCell="A3" zoomScale="80" zoomScaleNormal="80" workbookViewId="0">
      <selection activeCell="AK36" sqref="AK36"/>
    </sheetView>
  </sheetViews>
  <sheetFormatPr defaultRowHeight="16.5" x14ac:dyDescent="0.45"/>
  <cols>
    <col min="1" max="16384" width="8.7265625" style="12"/>
  </cols>
  <sheetData>
    <row r="1" spans="2:48" x14ac:dyDescent="0.45">
      <c r="D1" s="13"/>
      <c r="E1" s="13"/>
      <c r="F1" s="13"/>
      <c r="G1" s="13"/>
      <c r="H1" s="13"/>
      <c r="I1" s="13"/>
      <c r="J1" s="13"/>
      <c r="K1" s="13"/>
      <c r="L1" s="13"/>
      <c r="M1" s="13"/>
      <c r="N1" s="13"/>
      <c r="O1" s="13"/>
      <c r="P1" s="13"/>
      <c r="Q1" s="13"/>
      <c r="R1" s="13"/>
      <c r="S1" s="13"/>
      <c r="T1" s="13"/>
      <c r="U1" s="13"/>
      <c r="V1" s="13"/>
      <c r="W1" s="13"/>
      <c r="X1" s="13"/>
      <c r="Y1" s="13"/>
      <c r="Z1" s="13"/>
    </row>
    <row r="2" spans="2:48" ht="101" x14ac:dyDescent="2.4">
      <c r="D2" s="13"/>
      <c r="E2" s="13"/>
      <c r="F2" s="13"/>
      <c r="G2" s="13"/>
      <c r="H2" s="13"/>
      <c r="K2" s="14"/>
      <c r="L2" s="14"/>
      <c r="M2" s="14"/>
      <c r="N2" s="14"/>
      <c r="O2" s="14"/>
      <c r="P2" s="14"/>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row>
    <row r="3" spans="2:48" x14ac:dyDescent="0.45">
      <c r="D3" s="15"/>
      <c r="E3" s="13"/>
      <c r="F3" s="13"/>
      <c r="G3" s="13"/>
      <c r="H3" s="13"/>
      <c r="I3" s="13"/>
      <c r="J3" s="13"/>
      <c r="K3" s="13"/>
      <c r="L3" s="13"/>
      <c r="M3" s="13"/>
      <c r="N3" s="13"/>
      <c r="O3" s="13"/>
      <c r="P3" s="13"/>
      <c r="Q3" s="13"/>
      <c r="R3" s="13"/>
      <c r="S3" s="13"/>
      <c r="T3" s="13"/>
      <c r="U3" s="13"/>
      <c r="V3" s="13"/>
      <c r="W3" s="13"/>
      <c r="X3" s="13"/>
      <c r="Y3" s="13"/>
      <c r="Z3" s="13"/>
      <c r="AI3" s="20"/>
      <c r="AJ3" s="20"/>
      <c r="AK3" s="20"/>
      <c r="AL3" s="20"/>
      <c r="AM3" s="20"/>
      <c r="AN3" s="20"/>
      <c r="AO3" s="20"/>
      <c r="AP3" s="20"/>
      <c r="AQ3" s="20"/>
      <c r="AR3" s="20"/>
      <c r="AS3" s="20"/>
      <c r="AT3" s="20"/>
      <c r="AU3" s="20"/>
    </row>
    <row r="4" spans="2:48" ht="39.5" x14ac:dyDescent="0.95">
      <c r="D4" s="13"/>
      <c r="E4" s="13"/>
      <c r="F4" s="13"/>
      <c r="G4" s="13"/>
      <c r="H4" s="13"/>
      <c r="I4" s="13"/>
      <c r="J4" s="21" t="s">
        <v>155</v>
      </c>
      <c r="K4" s="21"/>
      <c r="L4" s="21"/>
      <c r="M4" s="22" t="s">
        <v>151</v>
      </c>
      <c r="N4" s="22"/>
      <c r="O4" s="22"/>
      <c r="P4" s="22"/>
      <c r="Q4" s="22"/>
      <c r="R4" s="22"/>
      <c r="S4" s="22"/>
      <c r="T4" s="22"/>
      <c r="U4" s="22"/>
      <c r="V4" s="22"/>
      <c r="W4" s="22"/>
      <c r="X4" s="22"/>
      <c r="Y4" s="22"/>
      <c r="Z4" s="13"/>
      <c r="AI4" s="20"/>
      <c r="AJ4" s="20"/>
      <c r="AK4" s="20"/>
      <c r="AL4" s="20"/>
      <c r="AM4" s="20"/>
      <c r="AN4" s="20"/>
      <c r="AO4" s="20"/>
      <c r="AP4" s="20"/>
      <c r="AQ4" s="20"/>
      <c r="AR4" s="20"/>
      <c r="AS4" s="20"/>
      <c r="AT4" s="20"/>
      <c r="AU4" s="20"/>
    </row>
    <row r="5" spans="2:48" x14ac:dyDescent="0.45">
      <c r="AI5" s="20"/>
      <c r="AJ5" s="20"/>
      <c r="AK5" s="20"/>
      <c r="AL5" s="20"/>
      <c r="AM5" s="20"/>
      <c r="AN5" s="20"/>
      <c r="AO5" s="20"/>
      <c r="AP5" s="20"/>
      <c r="AQ5" s="20"/>
      <c r="AR5" s="20"/>
      <c r="AS5" s="20"/>
      <c r="AT5" s="20"/>
      <c r="AU5" s="20"/>
    </row>
    <row r="6" spans="2:48" x14ac:dyDescent="0.45">
      <c r="B6" s="16"/>
      <c r="D6" s="17"/>
      <c r="AI6" s="20"/>
      <c r="AJ6" s="20"/>
      <c r="AK6" s="20"/>
      <c r="AL6" s="20"/>
      <c r="AM6" s="20"/>
      <c r="AN6" s="20"/>
      <c r="AO6" s="20"/>
      <c r="AP6" s="20"/>
      <c r="AQ6" s="20"/>
      <c r="AR6" s="20"/>
      <c r="AS6" s="20"/>
      <c r="AT6" s="20"/>
      <c r="AU6" s="20"/>
    </row>
    <row r="7" spans="2:48" x14ac:dyDescent="0.45">
      <c r="AI7" s="20"/>
      <c r="AJ7" s="20"/>
      <c r="AK7" s="20"/>
      <c r="AL7" s="20"/>
      <c r="AM7" s="20"/>
      <c r="AN7" s="20"/>
      <c r="AO7" s="20"/>
      <c r="AP7" s="20"/>
      <c r="AQ7" s="20"/>
      <c r="AR7" s="20"/>
      <c r="AS7" s="20"/>
      <c r="AT7" s="20"/>
      <c r="AU7" s="20"/>
    </row>
    <row r="8" spans="2:48" x14ac:dyDescent="0.45">
      <c r="AI8" s="20"/>
      <c r="AJ8" s="20"/>
      <c r="AK8" s="20"/>
      <c r="AL8" s="20"/>
      <c r="AM8" s="20"/>
      <c r="AN8" s="20"/>
      <c r="AO8" s="20"/>
      <c r="AP8" s="20"/>
      <c r="AQ8" s="20"/>
      <c r="AR8" s="20"/>
      <c r="AS8" s="20"/>
      <c r="AT8" s="20"/>
      <c r="AU8" s="20"/>
    </row>
    <row r="9" spans="2:48" x14ac:dyDescent="0.45">
      <c r="AI9" s="20"/>
      <c r="AJ9" s="20"/>
      <c r="AK9" s="20"/>
      <c r="AL9" s="20"/>
      <c r="AM9" s="20"/>
      <c r="AN9" s="20"/>
      <c r="AO9" s="20"/>
      <c r="AP9" s="20"/>
      <c r="AQ9" s="20"/>
      <c r="AR9" s="20"/>
      <c r="AS9" s="20"/>
      <c r="AT9" s="20"/>
      <c r="AU9" s="20"/>
    </row>
    <row r="10" spans="2:48" x14ac:dyDescent="0.45">
      <c r="AI10" s="20"/>
      <c r="AJ10" s="20"/>
      <c r="AK10" s="20"/>
      <c r="AL10" s="20"/>
      <c r="AM10" s="20"/>
      <c r="AN10" s="20"/>
      <c r="AO10" s="20"/>
      <c r="AP10" s="20"/>
      <c r="AQ10" s="20"/>
      <c r="AR10" s="20"/>
      <c r="AS10" s="20"/>
      <c r="AT10" s="20"/>
      <c r="AU10" s="20"/>
    </row>
    <row r="11" spans="2:48" x14ac:dyDescent="0.45">
      <c r="AI11" s="20"/>
      <c r="AJ11" s="20"/>
      <c r="AK11" s="20"/>
      <c r="AL11" s="20"/>
      <c r="AM11" s="20"/>
      <c r="AN11" s="20"/>
      <c r="AO11" s="20"/>
      <c r="AP11" s="20"/>
      <c r="AQ11" s="20"/>
      <c r="AR11" s="20"/>
      <c r="AS11" s="20"/>
      <c r="AT11" s="20"/>
      <c r="AU11" s="20"/>
    </row>
    <row r="12" spans="2:48" x14ac:dyDescent="0.45">
      <c r="AI12" s="20"/>
      <c r="AJ12" s="20"/>
      <c r="AK12" s="20"/>
      <c r="AL12" s="20"/>
      <c r="AM12" s="20"/>
      <c r="AN12" s="20"/>
      <c r="AO12" s="20"/>
      <c r="AP12" s="20"/>
      <c r="AQ12" s="20"/>
      <c r="AR12" s="20"/>
      <c r="AS12" s="20"/>
      <c r="AT12" s="20"/>
      <c r="AU12" s="20"/>
    </row>
    <row r="13" spans="2:48" x14ac:dyDescent="0.45">
      <c r="AI13" s="20"/>
      <c r="AJ13" s="20"/>
      <c r="AK13" s="20"/>
      <c r="AL13" s="20"/>
      <c r="AM13" s="20"/>
      <c r="AN13" s="20"/>
      <c r="AO13" s="20"/>
      <c r="AP13" s="20"/>
      <c r="AQ13" s="20"/>
      <c r="AR13" s="20"/>
      <c r="AS13" s="20"/>
      <c r="AT13" s="20"/>
      <c r="AU13" s="20"/>
    </row>
    <row r="16" spans="2:48" x14ac:dyDescent="0.45">
      <c r="F16" s="12">
        <f>COUNTA(Original[Risk ID])</f>
        <v>13</v>
      </c>
      <c r="G16" s="12">
        <f>COUNTIF(Original[Risk Level],"High")</f>
        <v>6</v>
      </c>
      <c r="H16" s="12">
        <f>COUNTIF(Original[Risk Level],"Medium")</f>
        <v>5</v>
      </c>
      <c r="I16" s="12">
        <f>COUNTIF(Original[Risk Level],"Low")</f>
        <v>2</v>
      </c>
      <c r="J16" s="12">
        <f>COUNTIF(Original[Status of Risk Remediation],"Closed")</f>
        <v>3</v>
      </c>
      <c r="K16" s="12">
        <f>COUNTA(Original[Status of Risk Remediation]) - COUNTIF(Original[Status of Risk Remediation],"Closed")</f>
        <v>10</v>
      </c>
      <c r="L16" s="19">
        <f>J16/(J16+K16)</f>
        <v>0.23076923076923078</v>
      </c>
    </row>
  </sheetData>
  <mergeCells count="3">
    <mergeCell ref="M4:Y4"/>
    <mergeCell ref="AI3:AU13"/>
    <mergeCell ref="Q2:A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0B852E-24E4-477A-891C-9A33DD2F4C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Table1__2__2</vt:lpstr>
      <vt:lpstr>Risk</vt:lpstr>
      <vt:lpstr>OriginalSheet</vt:lpstr>
      <vt:lpstr>Pivot_Severity</vt:lpstr>
      <vt:lpstr>Pivot_Frameworks</vt:lpstr>
      <vt:lpstr>Pivot_Systems</vt:lpstr>
      <vt:lpstr>Pivot_Impacts</vt:lpstr>
      <vt:lpstr>Pivot_Teams</vt:lpstr>
      <vt:lpstr>Pivot_Status</vt:lpstr>
      <vt:lpstr>Dashboard</vt:lpstr>
      <vt:lpstr>Risk_Table</vt:lpstr>
      <vt:lpstr>Risks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Maahir Shah</dc:creator>
  <cp:lastModifiedBy>Maahir Shah</cp:lastModifiedBy>
  <dcterms:created xsi:type="dcterms:W3CDTF">2026-05-05T22:25:18Z</dcterms:created>
  <dcterms:modified xsi:type="dcterms:W3CDTF">2026-06-16T17:53:02Z</dcterms:modified>
</cp:coreProperties>
</file>